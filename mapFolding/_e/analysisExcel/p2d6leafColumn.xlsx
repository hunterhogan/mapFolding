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mapFolding\Z0Z_notes\"/>
    </mc:Choice>
  </mc:AlternateContent>
  <xr:revisionPtr revIDLastSave="0" documentId="13_ncr:1_{FAB28E46-6809-4B38-897B-CA321B221E08}" xr6:coauthVersionLast="47" xr6:coauthVersionMax="47" xr10:uidLastSave="{00000000-0000-0000-0000-000000000000}"/>
  <bookViews>
    <workbookView xWindow="-28920" yWindow="-120" windowWidth="29040" windowHeight="15720" activeTab="1" xr2:uid="{1F0E509B-B65F-495C-A976-ABF714AC3BFD}"/>
  </bookViews>
  <sheets>
    <sheet name="p2d6leafColum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A38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34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39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33" i="2"/>
  <c r="C32" i="2"/>
  <c r="D32" i="2"/>
  <c r="AJ37" i="2" s="1"/>
  <c r="E32" i="2"/>
  <c r="AK37" i="2" s="1"/>
  <c r="F32" i="2"/>
  <c r="F35" i="2" s="1"/>
  <c r="G32" i="2"/>
  <c r="G35" i="2" s="1"/>
  <c r="H32" i="2"/>
  <c r="H35" i="2" s="1"/>
  <c r="I32" i="2"/>
  <c r="I35" i="2" s="1"/>
  <c r="J32" i="2"/>
  <c r="J35" i="2" s="1"/>
  <c r="K32" i="2"/>
  <c r="L32" i="2"/>
  <c r="L35" i="2" s="1"/>
  <c r="M32" i="2"/>
  <c r="AS37" i="2" s="1"/>
  <c r="N32" i="2"/>
  <c r="N35" i="2" s="1"/>
  <c r="O32" i="2"/>
  <c r="O35" i="2" s="1"/>
  <c r="P32" i="2"/>
  <c r="Q32" i="2"/>
  <c r="Q35" i="2" s="1"/>
  <c r="R32" i="2"/>
  <c r="R35" i="2" s="1"/>
  <c r="S32" i="2"/>
  <c r="AY37" i="2" s="1"/>
  <c r="T32" i="2"/>
  <c r="AZ37" i="2" s="1"/>
  <c r="U32" i="2"/>
  <c r="U35" i="2" s="1"/>
  <c r="V32" i="2"/>
  <c r="V35" i="2" s="1"/>
  <c r="W32" i="2"/>
  <c r="W35" i="2" s="1"/>
  <c r="X32" i="2"/>
  <c r="X35" i="2" s="1"/>
  <c r="Y32" i="2"/>
  <c r="Y35" i="2" s="1"/>
  <c r="Z32" i="2"/>
  <c r="Z35" i="2" s="1"/>
  <c r="AA32" i="2"/>
  <c r="AA35" i="2" s="1"/>
  <c r="AB32" i="2"/>
  <c r="AB35" i="2" s="1"/>
  <c r="AC32" i="2"/>
  <c r="AC35" i="2" s="1"/>
  <c r="AD32" i="2"/>
  <c r="AE32" i="2"/>
  <c r="BK37" i="2" s="1"/>
  <c r="AF32" i="2"/>
  <c r="AG32" i="2"/>
  <c r="AG35" i="2" s="1"/>
  <c r="AH32" i="2"/>
  <c r="AH35" i="2" s="1"/>
  <c r="AI32" i="2"/>
  <c r="AJ32" i="2"/>
  <c r="AJ35" i="2" s="1"/>
  <c r="AK32" i="2"/>
  <c r="AL32" i="2"/>
  <c r="AL35" i="2" s="1"/>
  <c r="AM32" i="2"/>
  <c r="AM35" i="2" s="1"/>
  <c r="AN32" i="2"/>
  <c r="AN35" i="2" s="1"/>
  <c r="AO32" i="2"/>
  <c r="AO35" i="2" s="1"/>
  <c r="AP32" i="2"/>
  <c r="AP35" i="2" s="1"/>
  <c r="AQ32" i="2"/>
  <c r="AQ35" i="2" s="1"/>
  <c r="AR32" i="2"/>
  <c r="AR35" i="2" s="1"/>
  <c r="AS32" i="2"/>
  <c r="AS35" i="2" s="1"/>
  <c r="AT32" i="2"/>
  <c r="AU32" i="2"/>
  <c r="AV32" i="2"/>
  <c r="AV35" i="2" s="1"/>
  <c r="AW32" i="2"/>
  <c r="AW35" i="2" s="1"/>
  <c r="AX32" i="2"/>
  <c r="AX35" i="2" s="1"/>
  <c r="AY32" i="2"/>
  <c r="AY35" i="2" s="1"/>
  <c r="AZ32" i="2"/>
  <c r="AZ35" i="2" s="1"/>
  <c r="BA32" i="2"/>
  <c r="BA35" i="2" s="1"/>
  <c r="BB32" i="2"/>
  <c r="BB35" i="2" s="1"/>
  <c r="BC32" i="2"/>
  <c r="BC35" i="2" s="1"/>
  <c r="BD32" i="2"/>
  <c r="BD35" i="2" s="1"/>
  <c r="BE32" i="2"/>
  <c r="BE35" i="2" s="1"/>
  <c r="BF32" i="2"/>
  <c r="BF35" i="2" s="1"/>
  <c r="BG32" i="2"/>
  <c r="BG35" i="2" s="1"/>
  <c r="BH32" i="2"/>
  <c r="BH35" i="2" s="1"/>
  <c r="BI32" i="2"/>
  <c r="BI35" i="2" s="1"/>
  <c r="BJ32" i="2"/>
  <c r="BJ35" i="2" s="1"/>
  <c r="BK32" i="2"/>
  <c r="BK35" i="2" s="1"/>
  <c r="BL32" i="2"/>
  <c r="BM32" i="2"/>
  <c r="BM35" i="2" s="1"/>
  <c r="B35" i="2"/>
  <c r="K35" i="2" l="1"/>
  <c r="P35" i="2"/>
  <c r="C35" i="2"/>
  <c r="BI37" i="2"/>
  <c r="BG37" i="2"/>
  <c r="BE37" i="2"/>
  <c r="BC37" i="2"/>
  <c r="BA37" i="2"/>
  <c r="AW37" i="2"/>
  <c r="AU37" i="2"/>
  <c r="AR37" i="2"/>
  <c r="AQ37" i="2"/>
  <c r="AO37" i="2"/>
  <c r="AN37" i="2"/>
  <c r="BM37" i="2"/>
  <c r="AM37" i="2"/>
  <c r="BL35" i="2"/>
  <c r="AD35" i="2"/>
  <c r="AF35" i="2"/>
  <c r="M35" i="2"/>
  <c r="AE35" i="2"/>
  <c r="AU35" i="2"/>
  <c r="AI35" i="2"/>
  <c r="D35" i="2"/>
  <c r="AK35" i="2"/>
  <c r="S35" i="2"/>
  <c r="E35" i="2"/>
  <c r="T35" i="2"/>
  <c r="AT35" i="2"/>
</calcChain>
</file>

<file path=xl/sharedStrings.xml><?xml version="1.0" encoding="utf-8"?>
<sst xmlns="http://schemas.openxmlformats.org/spreadsheetml/2006/main" count="70" uniqueCount="70">
  <si>
    <t>count</t>
  </si>
  <si>
    <t>start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</si>
  <si>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</si>
  <si>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</si>
  <si>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</si>
  <si>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</si>
  <si>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</si>
  <si>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</si>
  <si>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</si>
  <si>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</si>
  <si>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</si>
  <si>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</si>
  <si>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</si>
  <si>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</si>
  <si>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</si>
  <si>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</si>
  <si>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</si>
  <si>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</si>
  <si>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</si>
  <si>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</si>
  <si>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</si>
  <si>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</si>
  <si>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</si>
  <si>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</si>
  <si>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</si>
  <si>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</si>
  <si>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</si>
  <si>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</si>
  <si>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</si>
  <si>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</si>
  <si>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</si>
  <si>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</si>
  <si>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</si>
  <si>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</si>
  <si>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</si>
  <si>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</si>
  <si>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</si>
  <si>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</si>
  <si>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</si>
  <si>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</si>
  <si>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</si>
  <si>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</si>
  <si>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</si>
  <si>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</si>
  <si>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</si>
  <si>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</si>
  <si>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</si>
  <si>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</si>
  <si>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</si>
  <si>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</si>
  <si>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</si>
  <si>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</si>
  <si>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</si>
  <si>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</si>
  <si>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</si>
  <si>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</si>
  <si>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</si>
  <si>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</si>
  <si>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</si>
  <si>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</si>
  <si>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</si>
  <si>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</si>
  <si>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</si>
  <si>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</si>
  <si>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</si>
  <si>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</si>
  <si>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stop</t>
  </si>
  <si>
    <t>step</t>
  </si>
  <si>
    <t>indexLeaf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</si>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</sst>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1" fillId="6" borderId="4" xfId="11"/>
    <xf numFmtId="0" fontId="17" fillId="9" borderId="0" xfId="18"/>
    <xf numFmtId="0" fontId="17" fillId="13" borderId="0" xfId="22"/>
    <xf numFmtId="0" fontId="1" fillId="16" borderId="0" xfId="25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4305A-6F25-4790-988E-88A5152CADF3}" name="Table1" displayName="Table1" ref="B1:BM32" totalsRowCount="1">
  <autoFilter ref="B1:BM31" xr:uid="{C0A4305A-6F25-4790-988E-88A5152CAD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xr3:uid="{B1938209-0697-47B6-867E-FB86E061FD4B}" name="0" totalsRowFunction="min"/>
    <tableColumn id="2" xr3:uid="{BA6EC192-7DC7-4679-BE37-1765DFE40945}" name="1" totalsRowFunction="min"/>
    <tableColumn id="3" xr3:uid="{9E16F300-40EA-4322-BB73-A4FD2F4770F8}" name="2" totalsRowFunction="min"/>
    <tableColumn id="4" xr3:uid="{908CC973-A849-4C65-A2D2-FDB718F095B6}" name="3" totalsRowFunction="min"/>
    <tableColumn id="5" xr3:uid="{58679B7A-2DDE-411B-B5AF-7D29B54DEE46}" name="4" totalsRowFunction="min"/>
    <tableColumn id="6" xr3:uid="{1CFEBEEA-8295-40F1-846C-5DBAE3BB72A4}" name="5" totalsRowFunction="min"/>
    <tableColumn id="7" xr3:uid="{3D666D51-3D63-4D22-B92A-F967BF61934A}" name="6" totalsRowFunction="min"/>
    <tableColumn id="8" xr3:uid="{9282734D-F8CA-4865-A314-7F8FA3683691}" name="7" totalsRowFunction="min"/>
    <tableColumn id="9" xr3:uid="{2A47122A-7F04-4D31-89EB-1F905806C641}" name="8" totalsRowFunction="min"/>
    <tableColumn id="10" xr3:uid="{DAEAA0EB-7CC4-4F05-B091-922D9F487037}" name="9" totalsRowFunction="min"/>
    <tableColumn id="11" xr3:uid="{C0D82C44-9C3F-45C1-B43F-4CBE3234B72C}" name="10" totalsRowFunction="min"/>
    <tableColumn id="12" xr3:uid="{46DF9668-9F37-4115-A863-27152EF3B4BA}" name="11" totalsRowFunction="min"/>
    <tableColumn id="13" xr3:uid="{A4FE293B-691E-4632-9F2A-0C9041C7BAB8}" name="12" totalsRowFunction="min"/>
    <tableColumn id="14" xr3:uid="{2B6FEAA6-B664-4930-B459-130A1125F4F7}" name="13" totalsRowFunction="min"/>
    <tableColumn id="15" xr3:uid="{340A27C7-8827-4E58-A554-B57490298EC2}" name="14" totalsRowFunction="min"/>
    <tableColumn id="16" xr3:uid="{C9163318-D978-4597-AE5C-214CE66BA22A}" name="15" totalsRowFunction="min"/>
    <tableColumn id="17" xr3:uid="{0DE1F7CA-7DBB-4F67-B0D9-AB5ACFDE1545}" name="16" totalsRowFunction="min"/>
    <tableColumn id="18" xr3:uid="{E28456E4-69FA-4324-AF55-55F25D11A9C7}" name="17" totalsRowFunction="min"/>
    <tableColumn id="19" xr3:uid="{778866BD-ED71-49A3-B7E2-21D11D5D52F6}" name="18" totalsRowFunction="min"/>
    <tableColumn id="20" xr3:uid="{22D76251-B11D-4337-BE09-EE1C5839051C}" name="19" totalsRowFunction="min"/>
    <tableColumn id="21" xr3:uid="{039BB267-A9A3-4EFB-AE28-7BEFB977169D}" name="20" totalsRowFunction="min"/>
    <tableColumn id="22" xr3:uid="{480A1874-AF9A-4EFE-A581-83F53E44AF73}" name="21" totalsRowFunction="min"/>
    <tableColumn id="23" xr3:uid="{5EE2D817-A541-42C3-B5A2-A775C23C6134}" name="22" totalsRowFunction="min"/>
    <tableColumn id="24" xr3:uid="{BE97CAC5-9A80-4F0A-8FB1-DFA651C50FD4}" name="23" totalsRowFunction="min"/>
    <tableColumn id="25" xr3:uid="{F18EE8D9-E8E3-4485-982E-AACAFE95402D}" name="24" totalsRowFunction="min"/>
    <tableColumn id="26" xr3:uid="{42E4F9CA-DB2A-4EBF-820C-E6A76E119C9D}" name="25" totalsRowFunction="min"/>
    <tableColumn id="27" xr3:uid="{3231DE38-AB9A-47E9-A8F3-2EFA2080C88E}" name="26" totalsRowFunction="min"/>
    <tableColumn id="28" xr3:uid="{69F3331F-44C2-409C-B350-0FA76FE4D06D}" name="27" totalsRowFunction="min"/>
    <tableColumn id="29" xr3:uid="{A15347EB-1CDF-4A78-9184-2A54DBD4E0E4}" name="28" totalsRowFunction="min"/>
    <tableColumn id="30" xr3:uid="{EF524E23-17B8-4E2B-A753-37300766D0EB}" name="29" totalsRowFunction="min"/>
    <tableColumn id="31" xr3:uid="{0EDBEFBF-C46A-4ED7-9CF5-9C7BCA5DF255}" name="30" totalsRowFunction="min"/>
    <tableColumn id="32" xr3:uid="{CF319CCA-C6B1-4539-9DEF-CA748636985B}" name="31" totalsRowFunction="min"/>
    <tableColumn id="33" xr3:uid="{E489E7FB-D427-44EF-830E-3F9AC2D98AE0}" name="32" totalsRowFunction="min"/>
    <tableColumn id="34" xr3:uid="{259D9C28-83ED-43FD-AD26-8049E5BF072D}" name="33" totalsRowFunction="min"/>
    <tableColumn id="35" xr3:uid="{AD9AE3FA-2055-4046-8E84-274C1B011799}" name="34" totalsRowFunction="min"/>
    <tableColumn id="36" xr3:uid="{B477A40C-1200-4BB5-9AE7-232302C525B1}" name="35" totalsRowFunction="min"/>
    <tableColumn id="37" xr3:uid="{EA3815CA-312E-492F-B0EF-D12D3054F3AF}" name="36" totalsRowFunction="min"/>
    <tableColumn id="38" xr3:uid="{C3EA9618-45D6-4349-B885-8DE3714BCC0E}" name="37" totalsRowFunction="min"/>
    <tableColumn id="39" xr3:uid="{B8D36637-E2AC-4223-AC92-A1869F43C34F}" name="38" totalsRowFunction="min"/>
    <tableColumn id="40" xr3:uid="{83B22A6D-34E0-43FE-8AD2-C1FFAF2ECFD8}" name="39" totalsRowFunction="min"/>
    <tableColumn id="41" xr3:uid="{C4CECBD5-4EC6-4B76-9EAE-7035DC2AD666}" name="40" totalsRowFunction="min"/>
    <tableColumn id="42" xr3:uid="{E50CA4EC-817D-4A73-8C60-C7141E4FA2FC}" name="41" totalsRowFunction="min"/>
    <tableColumn id="43" xr3:uid="{72F61C16-F7A0-4493-90E8-565DB6EC7696}" name="42" totalsRowFunction="min"/>
    <tableColumn id="44" xr3:uid="{7635BEF5-E3B1-4142-8734-EEC08635703C}" name="43" totalsRowFunction="min"/>
    <tableColumn id="45" xr3:uid="{FD39DC80-C189-4AE2-A934-E58553ECC70E}" name="44" totalsRowFunction="min"/>
    <tableColumn id="46" xr3:uid="{7C34997E-090C-4750-AA84-737ADD0BDC4F}" name="45" totalsRowFunction="min"/>
    <tableColumn id="47" xr3:uid="{2914D709-CDF3-4916-9070-2D2984511CE7}" name="46" totalsRowFunction="min"/>
    <tableColumn id="48" xr3:uid="{552A083B-EDE3-4555-B19C-21448BC9DB53}" name="47" totalsRowFunction="min"/>
    <tableColumn id="49" xr3:uid="{6D75EDEC-8FBB-4747-83B1-97C92301EA52}" name="48" totalsRowFunction="min"/>
    <tableColumn id="50" xr3:uid="{1FEADE56-AA49-40D4-AADD-31A01AD7DF56}" name="49" totalsRowFunction="min"/>
    <tableColumn id="51" xr3:uid="{83E4C523-4F98-4A07-8ED5-A2356B14DFF1}" name="50" totalsRowFunction="min"/>
    <tableColumn id="52" xr3:uid="{7DBDC7B9-E46D-4684-9D99-1B7342BD0104}" name="51" totalsRowFunction="min"/>
    <tableColumn id="53" xr3:uid="{EF1DC44A-132F-4664-8437-D77AB1103BF6}" name="52" totalsRowFunction="min"/>
    <tableColumn id="54" xr3:uid="{9DE8338F-1C4A-4B6B-879C-8BD2A108671C}" name="53" totalsRowFunction="min"/>
    <tableColumn id="55" xr3:uid="{13FD9CB1-C36F-467A-A96F-1179DE6FDF92}" name="54" totalsRowFunction="min"/>
    <tableColumn id="56" xr3:uid="{14C7D399-8CAA-4B41-AD13-7873F2D69F53}" name="55" totalsRowFunction="min"/>
    <tableColumn id="57" xr3:uid="{AA06C100-8D38-42BD-AD9C-0A6503F8ADCB}" name="56" totalsRowFunction="min"/>
    <tableColumn id="58" xr3:uid="{C97A300A-4D3F-4C3B-AE08-6C84A5075D21}" name="57" totalsRowFunction="min"/>
    <tableColumn id="59" xr3:uid="{83EAFD94-B397-4812-94AB-C9D5CBA90015}" name="58" totalsRowFunction="min"/>
    <tableColumn id="60" xr3:uid="{BF413624-6EF9-46CC-A85B-8749E25E5A20}" name="59" totalsRowFunction="min"/>
    <tableColumn id="61" xr3:uid="{D5C5E04C-2A23-452D-9C6D-0B116EFDD3B3}" name="60" totalsRowFunction="min"/>
    <tableColumn id="62" xr3:uid="{720F5A3F-AF5A-4283-84A4-5C466597A52C}" name="61" totalsRowFunction="min"/>
    <tableColumn id="63" xr3:uid="{CCE374C5-7E6C-4584-AF41-4064603880E9}" name="62" totalsRowFunction="min"/>
    <tableColumn id="64" xr3:uid="{3C561C51-CB76-4FB2-B517-A31A01B8E089}" name="63" totalsRowFunction="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4233-BB19-4AF7-89E1-A7BAD2BA025F}">
  <dimension ref="A1:AE64"/>
  <sheetViews>
    <sheetView topLeftCell="A30" workbookViewId="0">
      <selection activeCell="B53" sqref="B53"/>
    </sheetView>
  </sheetViews>
  <sheetFormatPr defaultRowHeight="15.75" x14ac:dyDescent="0.25"/>
  <cols>
    <col min="1" max="31" width="2.875" bestFit="1" customWidth="1"/>
  </cols>
  <sheetData>
    <row r="1" spans="1:29" x14ac:dyDescent="0.25">
      <c r="A1">
        <v>0</v>
      </c>
      <c r="B1">
        <v>0</v>
      </c>
    </row>
    <row r="2" spans="1:29" x14ac:dyDescent="0.25">
      <c r="A2">
        <v>1</v>
      </c>
      <c r="B2">
        <v>1</v>
      </c>
    </row>
    <row r="3" spans="1:29" x14ac:dyDescent="0.25">
      <c r="A3">
        <v>2</v>
      </c>
      <c r="B3">
        <v>3</v>
      </c>
      <c r="C3">
        <v>5</v>
      </c>
      <c r="D3">
        <v>7</v>
      </c>
      <c r="E3">
        <v>9</v>
      </c>
      <c r="F3">
        <v>11</v>
      </c>
      <c r="G3">
        <v>13</v>
      </c>
      <c r="H3">
        <v>15</v>
      </c>
      <c r="I3">
        <v>17</v>
      </c>
      <c r="J3">
        <v>19</v>
      </c>
      <c r="K3">
        <v>21</v>
      </c>
      <c r="L3">
        <v>23</v>
      </c>
      <c r="M3">
        <v>25</v>
      </c>
      <c r="N3">
        <v>27</v>
      </c>
      <c r="O3">
        <v>29</v>
      </c>
      <c r="P3">
        <v>31</v>
      </c>
      <c r="Q3">
        <v>33</v>
      </c>
    </row>
    <row r="4" spans="1:29" x14ac:dyDescent="0.25">
      <c r="A4">
        <v>3</v>
      </c>
      <c r="B4">
        <v>2</v>
      </c>
      <c r="C4">
        <v>4</v>
      </c>
      <c r="D4">
        <v>6</v>
      </c>
      <c r="E4">
        <v>8</v>
      </c>
      <c r="F4">
        <v>10</v>
      </c>
      <c r="G4">
        <v>12</v>
      </c>
      <c r="H4">
        <v>14</v>
      </c>
      <c r="I4">
        <v>16</v>
      </c>
      <c r="J4">
        <v>18</v>
      </c>
      <c r="K4">
        <v>20</v>
      </c>
      <c r="L4">
        <v>22</v>
      </c>
      <c r="M4">
        <v>24</v>
      </c>
      <c r="N4">
        <v>26</v>
      </c>
      <c r="O4">
        <v>28</v>
      </c>
      <c r="P4">
        <v>30</v>
      </c>
      <c r="Q4">
        <v>32</v>
      </c>
    </row>
    <row r="5" spans="1:29" x14ac:dyDescent="0.25">
      <c r="A5">
        <v>4</v>
      </c>
      <c r="B5">
        <v>7</v>
      </c>
      <c r="C5">
        <v>9</v>
      </c>
      <c r="D5">
        <v>11</v>
      </c>
      <c r="E5">
        <v>13</v>
      </c>
      <c r="F5">
        <v>15</v>
      </c>
      <c r="G5">
        <v>17</v>
      </c>
      <c r="H5">
        <v>19</v>
      </c>
      <c r="I5">
        <v>21</v>
      </c>
      <c r="J5">
        <v>23</v>
      </c>
      <c r="K5">
        <v>25</v>
      </c>
      <c r="L5">
        <v>27</v>
      </c>
      <c r="M5">
        <v>29</v>
      </c>
      <c r="N5">
        <v>31</v>
      </c>
      <c r="O5">
        <v>33</v>
      </c>
      <c r="P5">
        <v>35</v>
      </c>
      <c r="Q5">
        <v>37</v>
      </c>
      <c r="R5">
        <v>39</v>
      </c>
      <c r="S5">
        <v>41</v>
      </c>
      <c r="T5">
        <v>43</v>
      </c>
      <c r="U5">
        <v>45</v>
      </c>
      <c r="V5">
        <v>47</v>
      </c>
      <c r="W5">
        <v>49</v>
      </c>
    </row>
    <row r="6" spans="1:29" x14ac:dyDescent="0.25">
      <c r="A6">
        <v>5</v>
      </c>
      <c r="B6">
        <v>2</v>
      </c>
      <c r="C6">
        <v>4</v>
      </c>
      <c r="D6">
        <v>6</v>
      </c>
      <c r="E6">
        <v>8</v>
      </c>
      <c r="F6">
        <v>10</v>
      </c>
      <c r="G6">
        <v>12</v>
      </c>
      <c r="H6">
        <v>14</v>
      </c>
      <c r="I6">
        <v>16</v>
      </c>
      <c r="J6">
        <v>18</v>
      </c>
      <c r="K6">
        <v>20</v>
      </c>
      <c r="L6">
        <v>22</v>
      </c>
      <c r="M6">
        <v>24</v>
      </c>
      <c r="N6">
        <v>26</v>
      </c>
      <c r="O6">
        <v>28</v>
      </c>
      <c r="P6">
        <v>30</v>
      </c>
      <c r="Q6">
        <v>32</v>
      </c>
      <c r="R6">
        <v>34</v>
      </c>
      <c r="S6">
        <v>36</v>
      </c>
      <c r="T6">
        <v>38</v>
      </c>
      <c r="U6">
        <v>40</v>
      </c>
      <c r="V6">
        <v>42</v>
      </c>
      <c r="W6">
        <v>44</v>
      </c>
      <c r="X6">
        <v>46</v>
      </c>
      <c r="Y6">
        <v>48</v>
      </c>
    </row>
    <row r="7" spans="1:29" x14ac:dyDescent="0.25">
      <c r="A7">
        <v>6</v>
      </c>
      <c r="B7">
        <v>4</v>
      </c>
      <c r="C7">
        <v>6</v>
      </c>
      <c r="D7">
        <v>8</v>
      </c>
      <c r="E7">
        <v>10</v>
      </c>
      <c r="F7">
        <v>12</v>
      </c>
      <c r="G7">
        <v>14</v>
      </c>
      <c r="H7">
        <v>16</v>
      </c>
      <c r="I7">
        <v>18</v>
      </c>
      <c r="J7">
        <v>20</v>
      </c>
      <c r="K7">
        <v>22</v>
      </c>
      <c r="L7">
        <v>24</v>
      </c>
      <c r="M7">
        <v>26</v>
      </c>
      <c r="N7">
        <v>28</v>
      </c>
      <c r="O7">
        <v>30</v>
      </c>
      <c r="P7">
        <v>32</v>
      </c>
      <c r="Q7">
        <v>34</v>
      </c>
      <c r="R7">
        <v>36</v>
      </c>
      <c r="S7">
        <v>38</v>
      </c>
      <c r="T7">
        <v>40</v>
      </c>
      <c r="U7">
        <v>42</v>
      </c>
      <c r="V7">
        <v>44</v>
      </c>
      <c r="W7">
        <v>46</v>
      </c>
      <c r="X7">
        <v>48</v>
      </c>
    </row>
    <row r="8" spans="1:29" x14ac:dyDescent="0.25">
      <c r="A8">
        <v>7</v>
      </c>
      <c r="B8">
        <v>3</v>
      </c>
      <c r="C8">
        <v>5</v>
      </c>
      <c r="D8">
        <v>7</v>
      </c>
      <c r="E8">
        <v>9</v>
      </c>
      <c r="F8">
        <v>11</v>
      </c>
      <c r="G8">
        <v>13</v>
      </c>
      <c r="H8">
        <v>15</v>
      </c>
      <c r="I8">
        <v>17</v>
      </c>
      <c r="J8">
        <v>19</v>
      </c>
      <c r="K8">
        <v>21</v>
      </c>
      <c r="L8">
        <v>23</v>
      </c>
      <c r="M8">
        <v>25</v>
      </c>
      <c r="N8">
        <v>27</v>
      </c>
      <c r="O8">
        <v>29</v>
      </c>
      <c r="P8">
        <v>31</v>
      </c>
      <c r="Q8">
        <v>33</v>
      </c>
      <c r="R8">
        <v>35</v>
      </c>
      <c r="S8">
        <v>37</v>
      </c>
      <c r="T8">
        <v>39</v>
      </c>
      <c r="U8">
        <v>41</v>
      </c>
      <c r="V8">
        <v>43</v>
      </c>
      <c r="W8">
        <v>45</v>
      </c>
      <c r="X8">
        <v>47</v>
      </c>
    </row>
    <row r="9" spans="1:29" x14ac:dyDescent="0.25">
      <c r="A9">
        <v>8</v>
      </c>
      <c r="B9">
        <v>15</v>
      </c>
      <c r="C9">
        <v>17</v>
      </c>
      <c r="D9">
        <v>19</v>
      </c>
      <c r="E9">
        <v>21</v>
      </c>
      <c r="F9">
        <v>23</v>
      </c>
      <c r="G9">
        <v>25</v>
      </c>
      <c r="H9">
        <v>27</v>
      </c>
      <c r="I9">
        <v>29</v>
      </c>
      <c r="J9">
        <v>31</v>
      </c>
      <c r="K9">
        <v>33</v>
      </c>
      <c r="L9">
        <v>35</v>
      </c>
      <c r="M9">
        <v>37</v>
      </c>
      <c r="N9">
        <v>39</v>
      </c>
      <c r="O9">
        <v>41</v>
      </c>
      <c r="P9">
        <v>43</v>
      </c>
      <c r="Q9">
        <v>45</v>
      </c>
      <c r="R9">
        <v>47</v>
      </c>
      <c r="S9">
        <v>49</v>
      </c>
      <c r="T9">
        <v>51</v>
      </c>
      <c r="U9">
        <v>53</v>
      </c>
      <c r="V9">
        <v>55</v>
      </c>
      <c r="W9">
        <v>57</v>
      </c>
    </row>
    <row r="10" spans="1:29" x14ac:dyDescent="0.25">
      <c r="A10">
        <v>9</v>
      </c>
      <c r="B10">
        <v>2</v>
      </c>
      <c r="C10">
        <v>4</v>
      </c>
      <c r="D10">
        <v>6</v>
      </c>
      <c r="E10">
        <v>8</v>
      </c>
      <c r="F10">
        <v>10</v>
      </c>
      <c r="G10">
        <v>12</v>
      </c>
      <c r="H10">
        <v>14</v>
      </c>
      <c r="I10">
        <v>16</v>
      </c>
      <c r="J10">
        <v>18</v>
      </c>
      <c r="K10">
        <v>20</v>
      </c>
      <c r="L10">
        <v>22</v>
      </c>
      <c r="M10">
        <v>24</v>
      </c>
      <c r="N10">
        <v>26</v>
      </c>
      <c r="O10">
        <v>28</v>
      </c>
      <c r="P10">
        <v>30</v>
      </c>
      <c r="Q10">
        <v>32</v>
      </c>
      <c r="R10">
        <v>34</v>
      </c>
      <c r="S10">
        <v>36</v>
      </c>
      <c r="T10">
        <v>38</v>
      </c>
      <c r="U10">
        <v>40</v>
      </c>
      <c r="V10">
        <v>42</v>
      </c>
      <c r="W10">
        <v>44</v>
      </c>
      <c r="X10">
        <v>46</v>
      </c>
      <c r="Y10">
        <v>48</v>
      </c>
      <c r="Z10">
        <v>50</v>
      </c>
      <c r="AA10">
        <v>52</v>
      </c>
      <c r="AB10">
        <v>54</v>
      </c>
      <c r="AC10">
        <v>56</v>
      </c>
    </row>
    <row r="11" spans="1:29" x14ac:dyDescent="0.25">
      <c r="A11">
        <v>10</v>
      </c>
      <c r="B11">
        <v>4</v>
      </c>
      <c r="C11">
        <v>6</v>
      </c>
      <c r="D11">
        <v>8</v>
      </c>
      <c r="E11">
        <v>10</v>
      </c>
      <c r="F11">
        <v>12</v>
      </c>
      <c r="G11">
        <v>14</v>
      </c>
      <c r="H11">
        <v>16</v>
      </c>
      <c r="I11">
        <v>18</v>
      </c>
      <c r="J11">
        <v>20</v>
      </c>
      <c r="K11">
        <v>22</v>
      </c>
      <c r="L11">
        <v>24</v>
      </c>
      <c r="M11">
        <v>26</v>
      </c>
      <c r="N11">
        <v>28</v>
      </c>
      <c r="O11">
        <v>30</v>
      </c>
      <c r="P11">
        <v>32</v>
      </c>
      <c r="Q11">
        <v>34</v>
      </c>
      <c r="R11">
        <v>36</v>
      </c>
      <c r="S11">
        <v>38</v>
      </c>
      <c r="T11">
        <v>40</v>
      </c>
      <c r="U11">
        <v>42</v>
      </c>
      <c r="V11">
        <v>44</v>
      </c>
      <c r="W11">
        <v>46</v>
      </c>
      <c r="X11">
        <v>48</v>
      </c>
      <c r="Y11">
        <v>50</v>
      </c>
      <c r="Z11">
        <v>52</v>
      </c>
      <c r="AA11">
        <v>54</v>
      </c>
      <c r="AB11">
        <v>56</v>
      </c>
    </row>
    <row r="12" spans="1:29" x14ac:dyDescent="0.25">
      <c r="A12">
        <v>11</v>
      </c>
      <c r="B12">
        <v>3</v>
      </c>
      <c r="C12">
        <v>5</v>
      </c>
      <c r="D12">
        <v>7</v>
      </c>
      <c r="E12">
        <v>9</v>
      </c>
      <c r="F12">
        <v>11</v>
      </c>
      <c r="G12">
        <v>13</v>
      </c>
      <c r="H12">
        <v>15</v>
      </c>
      <c r="I12">
        <v>17</v>
      </c>
      <c r="J12">
        <v>19</v>
      </c>
      <c r="K12">
        <v>21</v>
      </c>
      <c r="L12">
        <v>23</v>
      </c>
      <c r="M12">
        <v>25</v>
      </c>
      <c r="N12">
        <v>27</v>
      </c>
      <c r="O12">
        <v>29</v>
      </c>
      <c r="P12">
        <v>31</v>
      </c>
      <c r="Q12">
        <v>33</v>
      </c>
      <c r="R12">
        <v>35</v>
      </c>
      <c r="S12">
        <v>37</v>
      </c>
      <c r="T12">
        <v>39</v>
      </c>
      <c r="U12">
        <v>41</v>
      </c>
      <c r="V12">
        <v>43</v>
      </c>
      <c r="W12">
        <v>45</v>
      </c>
      <c r="X12">
        <v>47</v>
      </c>
      <c r="Y12">
        <v>49</v>
      </c>
      <c r="Z12">
        <v>51</v>
      </c>
      <c r="AA12">
        <v>53</v>
      </c>
      <c r="AB12">
        <v>55</v>
      </c>
    </row>
    <row r="13" spans="1:29" x14ac:dyDescent="0.25">
      <c r="A13">
        <v>12</v>
      </c>
      <c r="B13">
        <v>8</v>
      </c>
      <c r="C13">
        <v>10</v>
      </c>
      <c r="D13">
        <v>12</v>
      </c>
      <c r="E13">
        <v>14</v>
      </c>
      <c r="F13">
        <v>16</v>
      </c>
      <c r="G13">
        <v>18</v>
      </c>
      <c r="H13">
        <v>20</v>
      </c>
      <c r="I13">
        <v>22</v>
      </c>
      <c r="J13">
        <v>24</v>
      </c>
      <c r="K13">
        <v>26</v>
      </c>
      <c r="L13">
        <v>28</v>
      </c>
      <c r="M13">
        <v>30</v>
      </c>
      <c r="N13">
        <v>32</v>
      </c>
      <c r="O13">
        <v>34</v>
      </c>
      <c r="P13">
        <v>36</v>
      </c>
      <c r="Q13">
        <v>38</v>
      </c>
      <c r="R13">
        <v>40</v>
      </c>
      <c r="S13">
        <v>42</v>
      </c>
      <c r="T13">
        <v>44</v>
      </c>
      <c r="U13">
        <v>46</v>
      </c>
      <c r="V13">
        <v>48</v>
      </c>
      <c r="W13">
        <v>50</v>
      </c>
      <c r="X13">
        <v>52</v>
      </c>
      <c r="Y13">
        <v>54</v>
      </c>
      <c r="Z13">
        <v>56</v>
      </c>
    </row>
    <row r="14" spans="1:29" x14ac:dyDescent="0.25">
      <c r="A14">
        <v>13</v>
      </c>
      <c r="B14">
        <v>3</v>
      </c>
      <c r="C14">
        <v>5</v>
      </c>
      <c r="D14">
        <v>7</v>
      </c>
      <c r="E14">
        <v>9</v>
      </c>
      <c r="F14">
        <v>11</v>
      </c>
      <c r="G14">
        <v>13</v>
      </c>
      <c r="H14">
        <v>15</v>
      </c>
      <c r="I14">
        <v>17</v>
      </c>
      <c r="J14">
        <v>19</v>
      </c>
      <c r="K14">
        <v>21</v>
      </c>
      <c r="L14">
        <v>23</v>
      </c>
      <c r="M14">
        <v>25</v>
      </c>
      <c r="N14">
        <v>27</v>
      </c>
      <c r="O14">
        <v>29</v>
      </c>
      <c r="P14">
        <v>31</v>
      </c>
      <c r="Q14">
        <v>33</v>
      </c>
      <c r="R14">
        <v>35</v>
      </c>
      <c r="S14">
        <v>37</v>
      </c>
      <c r="T14">
        <v>39</v>
      </c>
      <c r="U14">
        <v>41</v>
      </c>
      <c r="V14">
        <v>43</v>
      </c>
      <c r="W14">
        <v>45</v>
      </c>
      <c r="X14">
        <v>47</v>
      </c>
      <c r="Y14">
        <v>49</v>
      </c>
      <c r="Z14">
        <v>51</v>
      </c>
      <c r="AA14">
        <v>53</v>
      </c>
      <c r="AB14">
        <v>55</v>
      </c>
    </row>
    <row r="15" spans="1:29" x14ac:dyDescent="0.25">
      <c r="A15">
        <v>14</v>
      </c>
      <c r="B15">
        <v>5</v>
      </c>
      <c r="C15">
        <v>7</v>
      </c>
      <c r="D15">
        <v>9</v>
      </c>
      <c r="E15">
        <v>11</v>
      </c>
      <c r="F15">
        <v>13</v>
      </c>
      <c r="G15">
        <v>15</v>
      </c>
      <c r="H15">
        <v>17</v>
      </c>
      <c r="I15">
        <v>19</v>
      </c>
      <c r="J15">
        <v>21</v>
      </c>
      <c r="K15">
        <v>23</v>
      </c>
      <c r="L15">
        <v>25</v>
      </c>
      <c r="M15">
        <v>27</v>
      </c>
      <c r="N15">
        <v>29</v>
      </c>
      <c r="O15">
        <v>31</v>
      </c>
      <c r="P15">
        <v>33</v>
      </c>
      <c r="Q15">
        <v>35</v>
      </c>
      <c r="R15">
        <v>37</v>
      </c>
      <c r="S15">
        <v>39</v>
      </c>
      <c r="T15">
        <v>41</v>
      </c>
      <c r="U15">
        <v>43</v>
      </c>
      <c r="V15">
        <v>45</v>
      </c>
      <c r="W15">
        <v>47</v>
      </c>
      <c r="X15">
        <v>49</v>
      </c>
      <c r="Y15">
        <v>51</v>
      </c>
      <c r="Z15">
        <v>53</v>
      </c>
      <c r="AA15">
        <v>55</v>
      </c>
    </row>
    <row r="16" spans="1:29" x14ac:dyDescent="0.25">
      <c r="A16">
        <v>15</v>
      </c>
      <c r="B16">
        <v>4</v>
      </c>
      <c r="C16">
        <v>6</v>
      </c>
      <c r="D16">
        <v>8</v>
      </c>
      <c r="E16">
        <v>10</v>
      </c>
      <c r="F16">
        <v>12</v>
      </c>
      <c r="G16">
        <v>14</v>
      </c>
      <c r="H16">
        <v>16</v>
      </c>
      <c r="I16">
        <v>18</v>
      </c>
      <c r="J16">
        <v>20</v>
      </c>
      <c r="K16">
        <v>22</v>
      </c>
      <c r="L16">
        <v>24</v>
      </c>
      <c r="M16">
        <v>26</v>
      </c>
      <c r="N16">
        <v>28</v>
      </c>
      <c r="O16">
        <v>30</v>
      </c>
      <c r="P16">
        <v>32</v>
      </c>
      <c r="Q16">
        <v>34</v>
      </c>
      <c r="R16">
        <v>36</v>
      </c>
      <c r="S16">
        <v>38</v>
      </c>
      <c r="T16">
        <v>40</v>
      </c>
      <c r="U16">
        <v>42</v>
      </c>
      <c r="V16">
        <v>44</v>
      </c>
      <c r="W16">
        <v>46</v>
      </c>
      <c r="X16">
        <v>48</v>
      </c>
      <c r="Y16">
        <v>50</v>
      </c>
      <c r="Z16">
        <v>52</v>
      </c>
      <c r="AA16">
        <v>54</v>
      </c>
    </row>
    <row r="17" spans="1:31" x14ac:dyDescent="0.25">
      <c r="A17">
        <v>16</v>
      </c>
      <c r="B17">
        <v>31</v>
      </c>
      <c r="C17">
        <v>33</v>
      </c>
      <c r="D17">
        <v>35</v>
      </c>
      <c r="E17">
        <v>37</v>
      </c>
      <c r="F17">
        <v>39</v>
      </c>
      <c r="G17">
        <v>41</v>
      </c>
      <c r="H17">
        <v>43</v>
      </c>
      <c r="I17">
        <v>45</v>
      </c>
      <c r="J17">
        <v>47</v>
      </c>
      <c r="K17">
        <v>49</v>
      </c>
      <c r="L17">
        <v>51</v>
      </c>
      <c r="M17">
        <v>53</v>
      </c>
      <c r="N17">
        <v>55</v>
      </c>
      <c r="O17">
        <v>57</v>
      </c>
      <c r="P17">
        <v>59</v>
      </c>
      <c r="Q17">
        <v>61</v>
      </c>
    </row>
    <row r="18" spans="1:31" x14ac:dyDescent="0.25">
      <c r="A18">
        <v>17</v>
      </c>
      <c r="B18">
        <v>2</v>
      </c>
      <c r="C18">
        <v>4</v>
      </c>
      <c r="D18">
        <v>6</v>
      </c>
      <c r="E18">
        <v>8</v>
      </c>
      <c r="F18">
        <v>10</v>
      </c>
      <c r="G18">
        <v>12</v>
      </c>
      <c r="H18">
        <v>14</v>
      </c>
      <c r="I18">
        <v>16</v>
      </c>
      <c r="J18">
        <v>18</v>
      </c>
      <c r="K18">
        <v>20</v>
      </c>
      <c r="L18">
        <v>22</v>
      </c>
      <c r="M18">
        <v>24</v>
      </c>
      <c r="N18">
        <v>26</v>
      </c>
      <c r="O18">
        <v>28</v>
      </c>
      <c r="P18">
        <v>30</v>
      </c>
      <c r="Q18">
        <v>32</v>
      </c>
      <c r="R18">
        <v>34</v>
      </c>
      <c r="S18">
        <v>36</v>
      </c>
      <c r="T18">
        <v>38</v>
      </c>
      <c r="U18">
        <v>40</v>
      </c>
      <c r="V18">
        <v>42</v>
      </c>
      <c r="W18">
        <v>44</v>
      </c>
      <c r="X18">
        <v>46</v>
      </c>
      <c r="Y18">
        <v>48</v>
      </c>
      <c r="Z18">
        <v>50</v>
      </c>
      <c r="AA18">
        <v>52</v>
      </c>
      <c r="AB18">
        <v>54</v>
      </c>
      <c r="AC18">
        <v>56</v>
      </c>
      <c r="AD18">
        <v>58</v>
      </c>
      <c r="AE18">
        <v>60</v>
      </c>
    </row>
    <row r="19" spans="1:31" x14ac:dyDescent="0.25">
      <c r="A19">
        <v>18</v>
      </c>
      <c r="B19">
        <v>4</v>
      </c>
      <c r="C19">
        <v>6</v>
      </c>
      <c r="D19">
        <v>8</v>
      </c>
      <c r="E19">
        <v>10</v>
      </c>
      <c r="F19">
        <v>12</v>
      </c>
      <c r="G19">
        <v>14</v>
      </c>
      <c r="H19">
        <v>16</v>
      </c>
      <c r="I19">
        <v>18</v>
      </c>
      <c r="J19">
        <v>20</v>
      </c>
      <c r="K19">
        <v>22</v>
      </c>
      <c r="L19">
        <v>24</v>
      </c>
      <c r="M19">
        <v>26</v>
      </c>
      <c r="N19">
        <v>28</v>
      </c>
      <c r="O19">
        <v>30</v>
      </c>
      <c r="P19">
        <v>32</v>
      </c>
      <c r="Q19">
        <v>34</v>
      </c>
      <c r="R19">
        <v>36</v>
      </c>
      <c r="S19">
        <v>38</v>
      </c>
      <c r="T19">
        <v>40</v>
      </c>
      <c r="U19">
        <v>42</v>
      </c>
      <c r="V19">
        <v>44</v>
      </c>
      <c r="W19">
        <v>46</v>
      </c>
      <c r="X19">
        <v>48</v>
      </c>
      <c r="Y19">
        <v>50</v>
      </c>
      <c r="Z19">
        <v>52</v>
      </c>
      <c r="AA19">
        <v>54</v>
      </c>
      <c r="AB19">
        <v>56</v>
      </c>
      <c r="AC19">
        <v>58</v>
      </c>
      <c r="AD19">
        <v>60</v>
      </c>
    </row>
    <row r="20" spans="1:31" x14ac:dyDescent="0.25">
      <c r="A20">
        <v>19</v>
      </c>
      <c r="B20">
        <v>3</v>
      </c>
      <c r="C20">
        <v>5</v>
      </c>
      <c r="D20">
        <v>7</v>
      </c>
      <c r="E20">
        <v>9</v>
      </c>
      <c r="F20">
        <v>11</v>
      </c>
      <c r="G20">
        <v>13</v>
      </c>
      <c r="H20">
        <v>15</v>
      </c>
      <c r="I20">
        <v>17</v>
      </c>
      <c r="J20">
        <v>19</v>
      </c>
      <c r="K20">
        <v>21</v>
      </c>
      <c r="L20">
        <v>23</v>
      </c>
      <c r="M20">
        <v>25</v>
      </c>
      <c r="N20">
        <v>27</v>
      </c>
      <c r="O20">
        <v>29</v>
      </c>
      <c r="P20">
        <v>31</v>
      </c>
      <c r="Q20">
        <v>33</v>
      </c>
      <c r="R20">
        <v>35</v>
      </c>
      <c r="S20">
        <v>37</v>
      </c>
      <c r="T20">
        <v>39</v>
      </c>
      <c r="U20">
        <v>41</v>
      </c>
      <c r="V20">
        <v>43</v>
      </c>
      <c r="W20">
        <v>45</v>
      </c>
      <c r="X20">
        <v>47</v>
      </c>
      <c r="Y20">
        <v>49</v>
      </c>
      <c r="Z20">
        <v>51</v>
      </c>
      <c r="AA20">
        <v>53</v>
      </c>
      <c r="AB20">
        <v>55</v>
      </c>
      <c r="AC20">
        <v>57</v>
      </c>
      <c r="AD20">
        <v>59</v>
      </c>
    </row>
    <row r="21" spans="1:31" x14ac:dyDescent="0.25">
      <c r="A21">
        <v>20</v>
      </c>
      <c r="B21">
        <v>8</v>
      </c>
      <c r="C21">
        <v>10</v>
      </c>
      <c r="D21">
        <v>12</v>
      </c>
      <c r="E21">
        <v>14</v>
      </c>
      <c r="F21">
        <v>16</v>
      </c>
      <c r="G21">
        <v>18</v>
      </c>
      <c r="H21">
        <v>20</v>
      </c>
      <c r="I21">
        <v>22</v>
      </c>
      <c r="J21">
        <v>24</v>
      </c>
      <c r="K21">
        <v>26</v>
      </c>
      <c r="L21">
        <v>28</v>
      </c>
      <c r="M21">
        <v>30</v>
      </c>
      <c r="N21">
        <v>32</v>
      </c>
      <c r="O21">
        <v>34</v>
      </c>
      <c r="P21">
        <v>36</v>
      </c>
      <c r="Q21">
        <v>38</v>
      </c>
      <c r="R21">
        <v>40</v>
      </c>
      <c r="S21">
        <v>42</v>
      </c>
      <c r="T21">
        <v>44</v>
      </c>
      <c r="U21">
        <v>46</v>
      </c>
      <c r="V21">
        <v>48</v>
      </c>
      <c r="W21">
        <v>50</v>
      </c>
      <c r="X21">
        <v>52</v>
      </c>
      <c r="Y21">
        <v>54</v>
      </c>
      <c r="Z21">
        <v>56</v>
      </c>
      <c r="AA21">
        <v>58</v>
      </c>
      <c r="AB21">
        <v>60</v>
      </c>
    </row>
    <row r="22" spans="1:31" x14ac:dyDescent="0.25">
      <c r="A22">
        <v>21</v>
      </c>
      <c r="B22">
        <v>3</v>
      </c>
      <c r="C22">
        <v>5</v>
      </c>
      <c r="D22">
        <v>7</v>
      </c>
      <c r="E22">
        <v>9</v>
      </c>
      <c r="F22">
        <v>11</v>
      </c>
      <c r="G22">
        <v>13</v>
      </c>
      <c r="H22">
        <v>15</v>
      </c>
      <c r="I22">
        <v>17</v>
      </c>
      <c r="J22">
        <v>19</v>
      </c>
      <c r="K22">
        <v>21</v>
      </c>
      <c r="L22">
        <v>23</v>
      </c>
      <c r="M22">
        <v>25</v>
      </c>
      <c r="N22">
        <v>27</v>
      </c>
      <c r="O22">
        <v>29</v>
      </c>
      <c r="P22">
        <v>31</v>
      </c>
      <c r="Q22">
        <v>33</v>
      </c>
      <c r="R22">
        <v>35</v>
      </c>
      <c r="S22">
        <v>37</v>
      </c>
      <c r="T22">
        <v>39</v>
      </c>
      <c r="U22">
        <v>41</v>
      </c>
      <c r="V22">
        <v>43</v>
      </c>
      <c r="W22">
        <v>45</v>
      </c>
      <c r="X22">
        <v>47</v>
      </c>
      <c r="Y22">
        <v>49</v>
      </c>
      <c r="Z22">
        <v>51</v>
      </c>
      <c r="AA22">
        <v>53</v>
      </c>
      <c r="AB22">
        <v>55</v>
      </c>
      <c r="AC22">
        <v>57</v>
      </c>
      <c r="AD22">
        <v>59</v>
      </c>
    </row>
    <row r="23" spans="1:31" x14ac:dyDescent="0.25">
      <c r="A23">
        <v>22</v>
      </c>
      <c r="B23">
        <v>5</v>
      </c>
      <c r="C23">
        <v>7</v>
      </c>
      <c r="D23">
        <v>9</v>
      </c>
      <c r="E23">
        <v>11</v>
      </c>
      <c r="F23">
        <v>13</v>
      </c>
      <c r="G23">
        <v>15</v>
      </c>
      <c r="H23">
        <v>17</v>
      </c>
      <c r="I23">
        <v>19</v>
      </c>
      <c r="J23">
        <v>21</v>
      </c>
      <c r="K23">
        <v>23</v>
      </c>
      <c r="L23">
        <v>25</v>
      </c>
      <c r="M23">
        <v>27</v>
      </c>
      <c r="N23">
        <v>29</v>
      </c>
      <c r="O23">
        <v>31</v>
      </c>
      <c r="P23">
        <v>33</v>
      </c>
      <c r="Q23">
        <v>35</v>
      </c>
      <c r="R23">
        <v>37</v>
      </c>
      <c r="S23">
        <v>39</v>
      </c>
      <c r="T23">
        <v>41</v>
      </c>
      <c r="U23">
        <v>43</v>
      </c>
      <c r="V23">
        <v>45</v>
      </c>
      <c r="W23">
        <v>47</v>
      </c>
      <c r="X23">
        <v>49</v>
      </c>
      <c r="Y23">
        <v>51</v>
      </c>
      <c r="Z23">
        <v>53</v>
      </c>
      <c r="AA23">
        <v>55</v>
      </c>
      <c r="AB23">
        <v>57</v>
      </c>
      <c r="AC23">
        <v>59</v>
      </c>
    </row>
    <row r="24" spans="1:31" x14ac:dyDescent="0.25">
      <c r="A24">
        <v>23</v>
      </c>
      <c r="B24">
        <v>4</v>
      </c>
      <c r="C24">
        <v>6</v>
      </c>
      <c r="D24">
        <v>8</v>
      </c>
      <c r="E24">
        <v>10</v>
      </c>
      <c r="F24">
        <v>12</v>
      </c>
      <c r="G24">
        <v>14</v>
      </c>
      <c r="H24">
        <v>16</v>
      </c>
      <c r="I24">
        <v>18</v>
      </c>
      <c r="J24">
        <v>20</v>
      </c>
      <c r="K24">
        <v>22</v>
      </c>
      <c r="L24">
        <v>24</v>
      </c>
      <c r="M24">
        <v>26</v>
      </c>
      <c r="N24">
        <v>28</v>
      </c>
      <c r="O24">
        <v>30</v>
      </c>
      <c r="P24">
        <v>32</v>
      </c>
      <c r="Q24">
        <v>34</v>
      </c>
      <c r="R24">
        <v>36</v>
      </c>
      <c r="S24">
        <v>38</v>
      </c>
      <c r="T24">
        <v>40</v>
      </c>
      <c r="U24">
        <v>42</v>
      </c>
      <c r="V24">
        <v>44</v>
      </c>
      <c r="W24">
        <v>46</v>
      </c>
      <c r="X24">
        <v>48</v>
      </c>
      <c r="Y24">
        <v>50</v>
      </c>
      <c r="Z24">
        <v>52</v>
      </c>
      <c r="AA24">
        <v>54</v>
      </c>
      <c r="AB24">
        <v>56</v>
      </c>
      <c r="AC24">
        <v>58</v>
      </c>
    </row>
    <row r="25" spans="1:31" x14ac:dyDescent="0.25">
      <c r="A25">
        <v>24</v>
      </c>
      <c r="B25">
        <v>16</v>
      </c>
      <c r="C25">
        <v>18</v>
      </c>
      <c r="D25">
        <v>20</v>
      </c>
      <c r="E25">
        <v>22</v>
      </c>
      <c r="F25">
        <v>24</v>
      </c>
      <c r="G25">
        <v>26</v>
      </c>
      <c r="H25">
        <v>28</v>
      </c>
      <c r="I25">
        <v>30</v>
      </c>
      <c r="J25">
        <v>32</v>
      </c>
      <c r="K25">
        <v>34</v>
      </c>
      <c r="L25">
        <v>36</v>
      </c>
      <c r="M25">
        <v>38</v>
      </c>
      <c r="N25">
        <v>40</v>
      </c>
      <c r="O25">
        <v>42</v>
      </c>
      <c r="P25">
        <v>44</v>
      </c>
      <c r="Q25">
        <v>46</v>
      </c>
      <c r="R25">
        <v>48</v>
      </c>
      <c r="S25">
        <v>50</v>
      </c>
      <c r="T25">
        <v>52</v>
      </c>
      <c r="U25">
        <v>54</v>
      </c>
      <c r="V25">
        <v>56</v>
      </c>
      <c r="W25">
        <v>58</v>
      </c>
      <c r="X25">
        <v>60</v>
      </c>
    </row>
    <row r="26" spans="1:31" x14ac:dyDescent="0.25">
      <c r="A26">
        <v>25</v>
      </c>
      <c r="B26">
        <v>3</v>
      </c>
      <c r="C26">
        <v>5</v>
      </c>
      <c r="D26">
        <v>7</v>
      </c>
      <c r="E26">
        <v>9</v>
      </c>
      <c r="F26">
        <v>11</v>
      </c>
      <c r="G26">
        <v>13</v>
      </c>
      <c r="H26">
        <v>15</v>
      </c>
      <c r="I26">
        <v>17</v>
      </c>
      <c r="J26">
        <v>19</v>
      </c>
      <c r="K26">
        <v>21</v>
      </c>
      <c r="L26">
        <v>23</v>
      </c>
      <c r="M26">
        <v>25</v>
      </c>
      <c r="N26">
        <v>27</v>
      </c>
      <c r="O26">
        <v>29</v>
      </c>
      <c r="P26">
        <v>31</v>
      </c>
      <c r="Q26">
        <v>33</v>
      </c>
      <c r="R26">
        <v>35</v>
      </c>
      <c r="S26">
        <v>37</v>
      </c>
      <c r="T26">
        <v>39</v>
      </c>
      <c r="U26">
        <v>41</v>
      </c>
      <c r="V26">
        <v>43</v>
      </c>
      <c r="W26">
        <v>45</v>
      </c>
      <c r="X26">
        <v>47</v>
      </c>
      <c r="Y26">
        <v>49</v>
      </c>
      <c r="Z26">
        <v>51</v>
      </c>
      <c r="AA26">
        <v>53</v>
      </c>
      <c r="AB26">
        <v>55</v>
      </c>
      <c r="AC26">
        <v>57</v>
      </c>
      <c r="AD26">
        <v>59</v>
      </c>
    </row>
    <row r="27" spans="1:31" x14ac:dyDescent="0.25">
      <c r="A27">
        <v>26</v>
      </c>
      <c r="B27">
        <v>5</v>
      </c>
      <c r="C27">
        <v>7</v>
      </c>
      <c r="D27">
        <v>9</v>
      </c>
      <c r="E27">
        <v>11</v>
      </c>
      <c r="F27">
        <v>13</v>
      </c>
      <c r="G27">
        <v>15</v>
      </c>
      <c r="H27">
        <v>17</v>
      </c>
      <c r="I27">
        <v>19</v>
      </c>
      <c r="J27">
        <v>21</v>
      </c>
      <c r="K27">
        <v>23</v>
      </c>
      <c r="L27">
        <v>25</v>
      </c>
      <c r="M27">
        <v>27</v>
      </c>
      <c r="N27">
        <v>29</v>
      </c>
      <c r="O27">
        <v>31</v>
      </c>
      <c r="P27">
        <v>33</v>
      </c>
      <c r="Q27">
        <v>35</v>
      </c>
      <c r="R27">
        <v>37</v>
      </c>
      <c r="S27">
        <v>39</v>
      </c>
      <c r="T27">
        <v>41</v>
      </c>
      <c r="U27">
        <v>43</v>
      </c>
      <c r="V27">
        <v>45</v>
      </c>
      <c r="W27">
        <v>47</v>
      </c>
      <c r="X27">
        <v>49</v>
      </c>
      <c r="Y27">
        <v>51</v>
      </c>
      <c r="Z27">
        <v>53</v>
      </c>
      <c r="AA27">
        <v>55</v>
      </c>
      <c r="AB27">
        <v>57</v>
      </c>
      <c r="AC27">
        <v>59</v>
      </c>
    </row>
    <row r="28" spans="1:31" x14ac:dyDescent="0.25">
      <c r="A28">
        <v>27</v>
      </c>
      <c r="B28">
        <v>4</v>
      </c>
      <c r="C28">
        <v>6</v>
      </c>
      <c r="D28">
        <v>8</v>
      </c>
      <c r="E28">
        <v>10</v>
      </c>
      <c r="F28">
        <v>12</v>
      </c>
      <c r="G28">
        <v>14</v>
      </c>
      <c r="H28">
        <v>16</v>
      </c>
      <c r="I28">
        <v>18</v>
      </c>
      <c r="J28">
        <v>20</v>
      </c>
      <c r="K28">
        <v>22</v>
      </c>
      <c r="L28">
        <v>24</v>
      </c>
      <c r="M28">
        <v>26</v>
      </c>
      <c r="N28">
        <v>28</v>
      </c>
      <c r="O28">
        <v>30</v>
      </c>
      <c r="P28">
        <v>32</v>
      </c>
      <c r="Q28">
        <v>34</v>
      </c>
      <c r="R28">
        <v>36</v>
      </c>
      <c r="S28">
        <v>38</v>
      </c>
      <c r="T28">
        <v>40</v>
      </c>
      <c r="U28">
        <v>42</v>
      </c>
      <c r="V28">
        <v>44</v>
      </c>
      <c r="W28">
        <v>46</v>
      </c>
      <c r="X28">
        <v>48</v>
      </c>
      <c r="Y28">
        <v>50</v>
      </c>
      <c r="Z28">
        <v>52</v>
      </c>
      <c r="AA28">
        <v>54</v>
      </c>
      <c r="AB28">
        <v>56</v>
      </c>
      <c r="AC28">
        <v>58</v>
      </c>
    </row>
    <row r="29" spans="1:31" x14ac:dyDescent="0.25">
      <c r="A29">
        <v>28</v>
      </c>
      <c r="B29">
        <v>9</v>
      </c>
      <c r="C29">
        <v>11</v>
      </c>
      <c r="D29">
        <v>13</v>
      </c>
      <c r="E29">
        <v>15</v>
      </c>
      <c r="F29">
        <v>17</v>
      </c>
      <c r="G29">
        <v>19</v>
      </c>
      <c r="H29">
        <v>21</v>
      </c>
      <c r="I29">
        <v>23</v>
      </c>
      <c r="J29">
        <v>25</v>
      </c>
      <c r="K29">
        <v>27</v>
      </c>
      <c r="L29">
        <v>29</v>
      </c>
      <c r="M29">
        <v>31</v>
      </c>
      <c r="N29">
        <v>33</v>
      </c>
      <c r="O29">
        <v>35</v>
      </c>
      <c r="P29">
        <v>37</v>
      </c>
      <c r="Q29">
        <v>39</v>
      </c>
      <c r="R29">
        <v>41</v>
      </c>
      <c r="S29">
        <v>43</v>
      </c>
      <c r="T29">
        <v>45</v>
      </c>
      <c r="U29">
        <v>47</v>
      </c>
      <c r="V29">
        <v>49</v>
      </c>
      <c r="W29">
        <v>51</v>
      </c>
      <c r="X29">
        <v>53</v>
      </c>
      <c r="Y29">
        <v>55</v>
      </c>
      <c r="Z29">
        <v>57</v>
      </c>
      <c r="AA29">
        <v>59</v>
      </c>
    </row>
    <row r="30" spans="1:31" x14ac:dyDescent="0.25">
      <c r="A30">
        <v>29</v>
      </c>
      <c r="B30">
        <v>4</v>
      </c>
      <c r="C30">
        <v>6</v>
      </c>
      <c r="D30">
        <v>8</v>
      </c>
      <c r="E30">
        <v>10</v>
      </c>
      <c r="F30">
        <v>12</v>
      </c>
      <c r="G30">
        <v>14</v>
      </c>
      <c r="H30">
        <v>16</v>
      </c>
      <c r="I30">
        <v>18</v>
      </c>
      <c r="J30">
        <v>20</v>
      </c>
      <c r="K30">
        <v>22</v>
      </c>
      <c r="L30">
        <v>24</v>
      </c>
      <c r="M30">
        <v>26</v>
      </c>
      <c r="N30">
        <v>28</v>
      </c>
      <c r="O30">
        <v>30</v>
      </c>
      <c r="P30">
        <v>32</v>
      </c>
      <c r="Q30">
        <v>34</v>
      </c>
      <c r="R30">
        <v>36</v>
      </c>
      <c r="S30">
        <v>38</v>
      </c>
      <c r="T30">
        <v>40</v>
      </c>
      <c r="U30">
        <v>42</v>
      </c>
      <c r="V30">
        <v>44</v>
      </c>
      <c r="W30">
        <v>46</v>
      </c>
      <c r="X30">
        <v>48</v>
      </c>
      <c r="Y30">
        <v>50</v>
      </c>
      <c r="Z30">
        <v>52</v>
      </c>
      <c r="AA30">
        <v>54</v>
      </c>
      <c r="AB30">
        <v>56</v>
      </c>
      <c r="AC30">
        <v>58</v>
      </c>
    </row>
    <row r="31" spans="1:31" x14ac:dyDescent="0.25">
      <c r="A31">
        <v>30</v>
      </c>
      <c r="B31">
        <v>6</v>
      </c>
      <c r="C31">
        <v>8</v>
      </c>
      <c r="D31">
        <v>10</v>
      </c>
      <c r="E31">
        <v>12</v>
      </c>
      <c r="F31">
        <v>14</v>
      </c>
      <c r="G31">
        <v>16</v>
      </c>
      <c r="H31">
        <v>18</v>
      </c>
      <c r="I31">
        <v>20</v>
      </c>
      <c r="J31">
        <v>22</v>
      </c>
      <c r="K31">
        <v>24</v>
      </c>
      <c r="L31">
        <v>26</v>
      </c>
      <c r="M31">
        <v>28</v>
      </c>
      <c r="N31">
        <v>30</v>
      </c>
      <c r="O31">
        <v>32</v>
      </c>
      <c r="P31">
        <v>34</v>
      </c>
      <c r="Q31">
        <v>36</v>
      </c>
      <c r="R31">
        <v>38</v>
      </c>
      <c r="S31">
        <v>40</v>
      </c>
      <c r="T31">
        <v>42</v>
      </c>
      <c r="U31">
        <v>44</v>
      </c>
      <c r="V31">
        <v>46</v>
      </c>
      <c r="W31">
        <v>48</v>
      </c>
      <c r="X31">
        <v>50</v>
      </c>
      <c r="Y31">
        <v>52</v>
      </c>
      <c r="Z31">
        <v>54</v>
      </c>
      <c r="AA31">
        <v>56</v>
      </c>
      <c r="AB31">
        <v>58</v>
      </c>
    </row>
    <row r="32" spans="1:31" x14ac:dyDescent="0.25">
      <c r="A32">
        <v>31</v>
      </c>
      <c r="B32">
        <v>5</v>
      </c>
      <c r="C32">
        <v>7</v>
      </c>
      <c r="D32">
        <v>9</v>
      </c>
      <c r="E32">
        <v>11</v>
      </c>
      <c r="F32">
        <v>13</v>
      </c>
      <c r="G32">
        <v>15</v>
      </c>
      <c r="H32">
        <v>17</v>
      </c>
      <c r="I32">
        <v>19</v>
      </c>
      <c r="J32">
        <v>21</v>
      </c>
      <c r="K32">
        <v>23</v>
      </c>
      <c r="L32">
        <v>25</v>
      </c>
      <c r="M32">
        <v>27</v>
      </c>
      <c r="N32">
        <v>29</v>
      </c>
      <c r="O32">
        <v>31</v>
      </c>
      <c r="P32">
        <v>33</v>
      </c>
      <c r="Q32">
        <v>35</v>
      </c>
      <c r="R32">
        <v>37</v>
      </c>
      <c r="S32">
        <v>39</v>
      </c>
      <c r="T32">
        <v>41</v>
      </c>
      <c r="U32">
        <v>43</v>
      </c>
      <c r="V32">
        <v>45</v>
      </c>
      <c r="W32">
        <v>47</v>
      </c>
      <c r="X32">
        <v>49</v>
      </c>
      <c r="Y32">
        <v>51</v>
      </c>
      <c r="Z32">
        <v>53</v>
      </c>
      <c r="AA32">
        <v>55</v>
      </c>
      <c r="AB32">
        <v>57</v>
      </c>
    </row>
    <row r="33" spans="1:31" x14ac:dyDescent="0.25">
      <c r="A33">
        <v>32</v>
      </c>
      <c r="B33">
        <v>63</v>
      </c>
    </row>
    <row r="34" spans="1:31" x14ac:dyDescent="0.25">
      <c r="A34">
        <v>33</v>
      </c>
      <c r="B34">
        <v>2</v>
      </c>
      <c r="C34">
        <v>6</v>
      </c>
      <c r="D34">
        <v>10</v>
      </c>
      <c r="E34">
        <v>14</v>
      </c>
      <c r="F34">
        <v>18</v>
      </c>
      <c r="G34">
        <v>22</v>
      </c>
      <c r="H34">
        <v>26</v>
      </c>
      <c r="I34">
        <v>30</v>
      </c>
      <c r="J34">
        <v>34</v>
      </c>
      <c r="K34">
        <v>38</v>
      </c>
      <c r="L34">
        <v>42</v>
      </c>
      <c r="M34">
        <v>46</v>
      </c>
      <c r="N34">
        <v>50</v>
      </c>
      <c r="O34">
        <v>54</v>
      </c>
      <c r="P34">
        <v>58</v>
      </c>
      <c r="Q34">
        <v>62</v>
      </c>
    </row>
    <row r="35" spans="1:31" x14ac:dyDescent="0.25">
      <c r="A35">
        <v>34</v>
      </c>
      <c r="B35">
        <v>4</v>
      </c>
      <c r="C35">
        <v>6</v>
      </c>
      <c r="D35">
        <v>8</v>
      </c>
      <c r="E35">
        <v>10</v>
      </c>
      <c r="F35">
        <v>12</v>
      </c>
      <c r="G35">
        <v>14</v>
      </c>
      <c r="H35">
        <v>16</v>
      </c>
      <c r="I35">
        <v>18</v>
      </c>
      <c r="J35">
        <v>20</v>
      </c>
      <c r="K35">
        <v>22</v>
      </c>
      <c r="L35">
        <v>24</v>
      </c>
      <c r="M35">
        <v>26</v>
      </c>
      <c r="N35">
        <v>28</v>
      </c>
      <c r="O35">
        <v>30</v>
      </c>
      <c r="P35">
        <v>32</v>
      </c>
      <c r="Q35">
        <v>34</v>
      </c>
      <c r="R35">
        <v>36</v>
      </c>
      <c r="S35">
        <v>38</v>
      </c>
      <c r="T35">
        <v>40</v>
      </c>
      <c r="U35">
        <v>42</v>
      </c>
      <c r="V35">
        <v>44</v>
      </c>
      <c r="W35">
        <v>46</v>
      </c>
      <c r="X35">
        <v>48</v>
      </c>
      <c r="Y35">
        <v>50</v>
      </c>
      <c r="Z35">
        <v>52</v>
      </c>
      <c r="AA35">
        <v>54</v>
      </c>
      <c r="AB35">
        <v>56</v>
      </c>
      <c r="AC35">
        <v>58</v>
      </c>
      <c r="AD35">
        <v>60</v>
      </c>
      <c r="AE35">
        <v>62</v>
      </c>
    </row>
    <row r="36" spans="1:31" x14ac:dyDescent="0.25">
      <c r="A36">
        <v>35</v>
      </c>
      <c r="B36">
        <v>3</v>
      </c>
      <c r="C36">
        <v>5</v>
      </c>
      <c r="D36">
        <v>7</v>
      </c>
      <c r="E36">
        <v>9</v>
      </c>
      <c r="F36">
        <v>11</v>
      </c>
      <c r="G36">
        <v>13</v>
      </c>
      <c r="H36">
        <v>15</v>
      </c>
      <c r="I36">
        <v>17</v>
      </c>
      <c r="J36">
        <v>19</v>
      </c>
      <c r="K36">
        <v>21</v>
      </c>
      <c r="L36">
        <v>23</v>
      </c>
      <c r="M36">
        <v>25</v>
      </c>
      <c r="N36">
        <v>27</v>
      </c>
      <c r="O36">
        <v>29</v>
      </c>
      <c r="P36">
        <v>31</v>
      </c>
      <c r="Q36">
        <v>33</v>
      </c>
      <c r="R36">
        <v>35</v>
      </c>
      <c r="S36">
        <v>37</v>
      </c>
      <c r="T36">
        <v>39</v>
      </c>
      <c r="U36">
        <v>41</v>
      </c>
      <c r="V36">
        <v>43</v>
      </c>
      <c r="W36">
        <v>45</v>
      </c>
      <c r="X36">
        <v>47</v>
      </c>
      <c r="Y36">
        <v>49</v>
      </c>
      <c r="Z36">
        <v>51</v>
      </c>
      <c r="AA36">
        <v>53</v>
      </c>
      <c r="AB36">
        <v>55</v>
      </c>
      <c r="AC36">
        <v>57</v>
      </c>
      <c r="AD36">
        <v>59</v>
      </c>
      <c r="AE36">
        <v>61</v>
      </c>
    </row>
    <row r="37" spans="1:31" x14ac:dyDescent="0.25">
      <c r="A37">
        <v>36</v>
      </c>
      <c r="B37">
        <v>8</v>
      </c>
      <c r="C37">
        <v>10</v>
      </c>
      <c r="D37">
        <v>12</v>
      </c>
      <c r="E37">
        <v>14</v>
      </c>
      <c r="F37">
        <v>16</v>
      </c>
      <c r="G37">
        <v>18</v>
      </c>
      <c r="H37">
        <v>20</v>
      </c>
      <c r="I37">
        <v>22</v>
      </c>
      <c r="J37">
        <v>24</v>
      </c>
      <c r="K37">
        <v>26</v>
      </c>
      <c r="L37">
        <v>28</v>
      </c>
      <c r="M37">
        <v>30</v>
      </c>
      <c r="N37">
        <v>32</v>
      </c>
      <c r="O37">
        <v>34</v>
      </c>
      <c r="P37">
        <v>36</v>
      </c>
      <c r="Q37">
        <v>38</v>
      </c>
      <c r="R37">
        <v>40</v>
      </c>
      <c r="S37">
        <v>42</v>
      </c>
      <c r="T37">
        <v>44</v>
      </c>
      <c r="U37">
        <v>46</v>
      </c>
      <c r="V37">
        <v>48</v>
      </c>
      <c r="W37">
        <v>50</v>
      </c>
      <c r="X37">
        <v>52</v>
      </c>
      <c r="Y37">
        <v>54</v>
      </c>
      <c r="Z37">
        <v>56</v>
      </c>
      <c r="AA37">
        <v>58</v>
      </c>
      <c r="AB37">
        <v>60</v>
      </c>
      <c r="AC37">
        <v>62</v>
      </c>
    </row>
    <row r="38" spans="1:31" x14ac:dyDescent="0.25">
      <c r="A38">
        <v>37</v>
      </c>
      <c r="B38">
        <v>3</v>
      </c>
      <c r="C38">
        <v>5</v>
      </c>
      <c r="D38">
        <v>7</v>
      </c>
      <c r="E38">
        <v>9</v>
      </c>
      <c r="F38">
        <v>11</v>
      </c>
      <c r="G38">
        <v>13</v>
      </c>
      <c r="H38">
        <v>15</v>
      </c>
      <c r="I38">
        <v>17</v>
      </c>
      <c r="J38">
        <v>19</v>
      </c>
      <c r="K38">
        <v>21</v>
      </c>
      <c r="L38">
        <v>23</v>
      </c>
      <c r="M38">
        <v>25</v>
      </c>
      <c r="N38">
        <v>27</v>
      </c>
      <c r="O38">
        <v>29</v>
      </c>
      <c r="P38">
        <v>31</v>
      </c>
      <c r="Q38">
        <v>33</v>
      </c>
      <c r="R38">
        <v>35</v>
      </c>
      <c r="S38">
        <v>37</v>
      </c>
      <c r="T38">
        <v>39</v>
      </c>
      <c r="U38">
        <v>41</v>
      </c>
      <c r="V38">
        <v>43</v>
      </c>
      <c r="W38">
        <v>45</v>
      </c>
      <c r="X38">
        <v>47</v>
      </c>
      <c r="Y38">
        <v>49</v>
      </c>
      <c r="Z38">
        <v>51</v>
      </c>
      <c r="AA38">
        <v>53</v>
      </c>
      <c r="AB38">
        <v>55</v>
      </c>
      <c r="AC38">
        <v>57</v>
      </c>
      <c r="AD38">
        <v>59</v>
      </c>
      <c r="AE38">
        <v>61</v>
      </c>
    </row>
    <row r="39" spans="1:31" x14ac:dyDescent="0.25">
      <c r="A39">
        <v>38</v>
      </c>
      <c r="B39">
        <v>5</v>
      </c>
      <c r="C39">
        <v>7</v>
      </c>
      <c r="D39">
        <v>9</v>
      </c>
      <c r="E39">
        <v>11</v>
      </c>
      <c r="F39">
        <v>13</v>
      </c>
      <c r="G39">
        <v>15</v>
      </c>
      <c r="H39">
        <v>17</v>
      </c>
      <c r="I39">
        <v>19</v>
      </c>
      <c r="J39">
        <v>21</v>
      </c>
      <c r="K39">
        <v>23</v>
      </c>
      <c r="L39">
        <v>25</v>
      </c>
      <c r="M39">
        <v>27</v>
      </c>
      <c r="N39">
        <v>29</v>
      </c>
      <c r="O39">
        <v>31</v>
      </c>
      <c r="P39">
        <v>33</v>
      </c>
      <c r="Q39">
        <v>35</v>
      </c>
      <c r="R39">
        <v>37</v>
      </c>
      <c r="S39">
        <v>39</v>
      </c>
      <c r="T39">
        <v>41</v>
      </c>
      <c r="U39">
        <v>43</v>
      </c>
      <c r="V39">
        <v>45</v>
      </c>
      <c r="W39">
        <v>47</v>
      </c>
      <c r="X39">
        <v>49</v>
      </c>
      <c r="Y39">
        <v>51</v>
      </c>
      <c r="Z39">
        <v>53</v>
      </c>
      <c r="AA39">
        <v>55</v>
      </c>
      <c r="AB39">
        <v>57</v>
      </c>
      <c r="AC39">
        <v>59</v>
      </c>
      <c r="AD39">
        <v>61</v>
      </c>
    </row>
    <row r="40" spans="1:31" x14ac:dyDescent="0.25">
      <c r="A40">
        <v>39</v>
      </c>
      <c r="B40">
        <v>4</v>
      </c>
      <c r="C40">
        <v>6</v>
      </c>
      <c r="D40">
        <v>8</v>
      </c>
      <c r="E40">
        <v>10</v>
      </c>
      <c r="F40">
        <v>12</v>
      </c>
      <c r="G40">
        <v>14</v>
      </c>
      <c r="H40">
        <v>16</v>
      </c>
      <c r="I40">
        <v>18</v>
      </c>
      <c r="J40">
        <v>20</v>
      </c>
      <c r="K40">
        <v>22</v>
      </c>
      <c r="L40">
        <v>24</v>
      </c>
      <c r="M40">
        <v>26</v>
      </c>
      <c r="N40">
        <v>28</v>
      </c>
      <c r="O40">
        <v>30</v>
      </c>
      <c r="P40">
        <v>32</v>
      </c>
      <c r="Q40">
        <v>34</v>
      </c>
      <c r="R40">
        <v>36</v>
      </c>
      <c r="S40">
        <v>38</v>
      </c>
      <c r="T40">
        <v>40</v>
      </c>
      <c r="U40">
        <v>42</v>
      </c>
      <c r="V40">
        <v>44</v>
      </c>
      <c r="W40">
        <v>46</v>
      </c>
      <c r="X40">
        <v>48</v>
      </c>
      <c r="Y40">
        <v>50</v>
      </c>
      <c r="Z40">
        <v>52</v>
      </c>
      <c r="AA40">
        <v>54</v>
      </c>
      <c r="AB40">
        <v>56</v>
      </c>
      <c r="AC40">
        <v>58</v>
      </c>
      <c r="AD40">
        <v>60</v>
      </c>
    </row>
    <row r="41" spans="1:31" x14ac:dyDescent="0.25">
      <c r="A41">
        <v>40</v>
      </c>
      <c r="B41">
        <v>16</v>
      </c>
      <c r="C41">
        <v>18</v>
      </c>
      <c r="D41">
        <v>20</v>
      </c>
      <c r="E41">
        <v>22</v>
      </c>
      <c r="F41">
        <v>24</v>
      </c>
      <c r="G41">
        <v>26</v>
      </c>
      <c r="H41">
        <v>28</v>
      </c>
      <c r="I41">
        <v>30</v>
      </c>
      <c r="J41">
        <v>32</v>
      </c>
      <c r="K41">
        <v>34</v>
      </c>
      <c r="L41">
        <v>36</v>
      </c>
      <c r="M41">
        <v>38</v>
      </c>
      <c r="N41">
        <v>40</v>
      </c>
      <c r="O41">
        <v>42</v>
      </c>
      <c r="P41">
        <v>44</v>
      </c>
      <c r="Q41">
        <v>46</v>
      </c>
      <c r="R41">
        <v>48</v>
      </c>
      <c r="S41">
        <v>50</v>
      </c>
      <c r="T41">
        <v>52</v>
      </c>
      <c r="U41">
        <v>54</v>
      </c>
      <c r="V41">
        <v>56</v>
      </c>
      <c r="W41">
        <v>58</v>
      </c>
      <c r="X41">
        <v>60</v>
      </c>
      <c r="Y41">
        <v>62</v>
      </c>
    </row>
    <row r="42" spans="1:31" x14ac:dyDescent="0.25">
      <c r="A42">
        <v>41</v>
      </c>
      <c r="B42">
        <v>3</v>
      </c>
      <c r="C42">
        <v>5</v>
      </c>
      <c r="D42">
        <v>7</v>
      </c>
      <c r="E42">
        <v>9</v>
      </c>
      <c r="F42">
        <v>11</v>
      </c>
      <c r="G42">
        <v>13</v>
      </c>
      <c r="H42">
        <v>15</v>
      </c>
      <c r="I42">
        <v>17</v>
      </c>
      <c r="J42">
        <v>19</v>
      </c>
      <c r="K42">
        <v>21</v>
      </c>
      <c r="L42">
        <v>23</v>
      </c>
      <c r="M42">
        <v>25</v>
      </c>
      <c r="N42">
        <v>27</v>
      </c>
      <c r="O42">
        <v>29</v>
      </c>
      <c r="P42">
        <v>31</v>
      </c>
      <c r="Q42">
        <v>33</v>
      </c>
      <c r="R42">
        <v>35</v>
      </c>
      <c r="S42">
        <v>37</v>
      </c>
      <c r="T42">
        <v>39</v>
      </c>
      <c r="U42">
        <v>41</v>
      </c>
      <c r="V42">
        <v>43</v>
      </c>
      <c r="W42">
        <v>45</v>
      </c>
      <c r="X42">
        <v>47</v>
      </c>
      <c r="Y42">
        <v>49</v>
      </c>
      <c r="Z42">
        <v>51</v>
      </c>
      <c r="AA42">
        <v>53</v>
      </c>
      <c r="AB42">
        <v>55</v>
      </c>
      <c r="AC42">
        <v>57</v>
      </c>
      <c r="AD42">
        <v>59</v>
      </c>
      <c r="AE42">
        <v>61</v>
      </c>
    </row>
    <row r="43" spans="1:31" x14ac:dyDescent="0.25">
      <c r="A43">
        <v>42</v>
      </c>
      <c r="B43">
        <v>5</v>
      </c>
      <c r="C43">
        <v>7</v>
      </c>
      <c r="D43">
        <v>9</v>
      </c>
      <c r="E43">
        <v>11</v>
      </c>
      <c r="F43">
        <v>13</v>
      </c>
      <c r="G43">
        <v>15</v>
      </c>
      <c r="H43">
        <v>17</v>
      </c>
      <c r="I43">
        <v>19</v>
      </c>
      <c r="J43">
        <v>21</v>
      </c>
      <c r="K43">
        <v>23</v>
      </c>
      <c r="L43">
        <v>25</v>
      </c>
      <c r="M43">
        <v>27</v>
      </c>
      <c r="N43">
        <v>29</v>
      </c>
      <c r="O43">
        <v>31</v>
      </c>
      <c r="P43">
        <v>33</v>
      </c>
      <c r="Q43">
        <v>35</v>
      </c>
      <c r="R43">
        <v>37</v>
      </c>
      <c r="S43">
        <v>39</v>
      </c>
      <c r="T43">
        <v>41</v>
      </c>
      <c r="U43">
        <v>43</v>
      </c>
      <c r="V43">
        <v>45</v>
      </c>
      <c r="W43">
        <v>47</v>
      </c>
      <c r="X43">
        <v>49</v>
      </c>
      <c r="Y43">
        <v>51</v>
      </c>
      <c r="Z43">
        <v>53</v>
      </c>
      <c r="AA43">
        <v>55</v>
      </c>
      <c r="AB43">
        <v>57</v>
      </c>
      <c r="AC43">
        <v>59</v>
      </c>
      <c r="AD43">
        <v>61</v>
      </c>
    </row>
    <row r="44" spans="1:31" x14ac:dyDescent="0.25">
      <c r="A44">
        <v>43</v>
      </c>
      <c r="B44">
        <v>4</v>
      </c>
      <c r="C44">
        <v>6</v>
      </c>
      <c r="D44">
        <v>8</v>
      </c>
      <c r="E44">
        <v>10</v>
      </c>
      <c r="F44">
        <v>12</v>
      </c>
      <c r="G44">
        <v>14</v>
      </c>
      <c r="H44">
        <v>16</v>
      </c>
      <c r="I44">
        <v>18</v>
      </c>
      <c r="J44">
        <v>20</v>
      </c>
      <c r="K44">
        <v>22</v>
      </c>
      <c r="L44">
        <v>24</v>
      </c>
      <c r="M44">
        <v>26</v>
      </c>
      <c r="N44">
        <v>28</v>
      </c>
      <c r="O44">
        <v>30</v>
      </c>
      <c r="P44">
        <v>32</v>
      </c>
      <c r="Q44">
        <v>34</v>
      </c>
      <c r="R44">
        <v>36</v>
      </c>
      <c r="S44">
        <v>38</v>
      </c>
      <c r="T44">
        <v>40</v>
      </c>
      <c r="U44">
        <v>42</v>
      </c>
      <c r="V44">
        <v>44</v>
      </c>
      <c r="W44">
        <v>46</v>
      </c>
      <c r="X44">
        <v>48</v>
      </c>
      <c r="Y44">
        <v>50</v>
      </c>
      <c r="Z44">
        <v>52</v>
      </c>
      <c r="AA44">
        <v>54</v>
      </c>
      <c r="AB44">
        <v>56</v>
      </c>
      <c r="AC44">
        <v>58</v>
      </c>
      <c r="AD44">
        <v>60</v>
      </c>
    </row>
    <row r="45" spans="1:31" x14ac:dyDescent="0.25">
      <c r="A45">
        <v>44</v>
      </c>
      <c r="B45">
        <v>9</v>
      </c>
      <c r="C45">
        <v>11</v>
      </c>
      <c r="D45">
        <v>13</v>
      </c>
      <c r="E45">
        <v>15</v>
      </c>
      <c r="F45">
        <v>17</v>
      </c>
      <c r="G45">
        <v>19</v>
      </c>
      <c r="H45">
        <v>21</v>
      </c>
      <c r="I45">
        <v>23</v>
      </c>
      <c r="J45">
        <v>25</v>
      </c>
      <c r="K45">
        <v>27</v>
      </c>
      <c r="L45">
        <v>29</v>
      </c>
      <c r="M45">
        <v>31</v>
      </c>
      <c r="N45">
        <v>33</v>
      </c>
      <c r="O45">
        <v>35</v>
      </c>
      <c r="P45">
        <v>37</v>
      </c>
      <c r="Q45">
        <v>39</v>
      </c>
      <c r="R45">
        <v>41</v>
      </c>
      <c r="S45">
        <v>43</v>
      </c>
      <c r="T45">
        <v>45</v>
      </c>
      <c r="U45">
        <v>47</v>
      </c>
      <c r="V45">
        <v>49</v>
      </c>
      <c r="W45">
        <v>51</v>
      </c>
      <c r="X45">
        <v>53</v>
      </c>
      <c r="Y45">
        <v>55</v>
      </c>
      <c r="Z45">
        <v>57</v>
      </c>
      <c r="AA45">
        <v>59</v>
      </c>
      <c r="AB45">
        <v>61</v>
      </c>
    </row>
    <row r="46" spans="1:31" x14ac:dyDescent="0.25">
      <c r="A46">
        <v>45</v>
      </c>
      <c r="B46">
        <v>4</v>
      </c>
      <c r="C46">
        <v>6</v>
      </c>
      <c r="D46">
        <v>8</v>
      </c>
      <c r="E46">
        <v>10</v>
      </c>
      <c r="F46">
        <v>12</v>
      </c>
      <c r="G46">
        <v>14</v>
      </c>
      <c r="H46">
        <v>16</v>
      </c>
      <c r="I46">
        <v>18</v>
      </c>
      <c r="J46">
        <v>20</v>
      </c>
      <c r="K46">
        <v>22</v>
      </c>
      <c r="L46">
        <v>24</v>
      </c>
      <c r="M46">
        <v>26</v>
      </c>
      <c r="N46">
        <v>28</v>
      </c>
      <c r="O46">
        <v>30</v>
      </c>
      <c r="P46">
        <v>32</v>
      </c>
      <c r="Q46">
        <v>34</v>
      </c>
      <c r="R46">
        <v>36</v>
      </c>
      <c r="S46">
        <v>38</v>
      </c>
      <c r="T46">
        <v>40</v>
      </c>
      <c r="U46">
        <v>42</v>
      </c>
      <c r="V46">
        <v>44</v>
      </c>
      <c r="W46">
        <v>46</v>
      </c>
      <c r="X46">
        <v>48</v>
      </c>
      <c r="Y46">
        <v>50</v>
      </c>
      <c r="Z46">
        <v>52</v>
      </c>
      <c r="AA46">
        <v>54</v>
      </c>
      <c r="AB46">
        <v>56</v>
      </c>
      <c r="AC46">
        <v>58</v>
      </c>
      <c r="AD46">
        <v>60</v>
      </c>
    </row>
    <row r="47" spans="1:31" x14ac:dyDescent="0.25">
      <c r="A47">
        <v>46</v>
      </c>
      <c r="B47">
        <v>6</v>
      </c>
      <c r="C47">
        <v>8</v>
      </c>
      <c r="D47">
        <v>10</v>
      </c>
      <c r="E47">
        <v>12</v>
      </c>
      <c r="F47">
        <v>14</v>
      </c>
      <c r="G47">
        <v>16</v>
      </c>
      <c r="H47">
        <v>18</v>
      </c>
      <c r="I47">
        <v>20</v>
      </c>
      <c r="J47">
        <v>22</v>
      </c>
      <c r="K47">
        <v>24</v>
      </c>
      <c r="L47">
        <v>26</v>
      </c>
      <c r="M47">
        <v>28</v>
      </c>
      <c r="N47">
        <v>30</v>
      </c>
      <c r="O47">
        <v>32</v>
      </c>
      <c r="P47">
        <v>34</v>
      </c>
      <c r="Q47">
        <v>36</v>
      </c>
      <c r="R47">
        <v>38</v>
      </c>
      <c r="S47">
        <v>40</v>
      </c>
      <c r="T47">
        <v>42</v>
      </c>
      <c r="U47">
        <v>44</v>
      </c>
      <c r="V47">
        <v>46</v>
      </c>
      <c r="W47">
        <v>48</v>
      </c>
      <c r="X47">
        <v>50</v>
      </c>
      <c r="Y47">
        <v>52</v>
      </c>
      <c r="Z47">
        <v>54</v>
      </c>
      <c r="AA47">
        <v>56</v>
      </c>
      <c r="AB47">
        <v>58</v>
      </c>
      <c r="AC47">
        <v>60</v>
      </c>
    </row>
    <row r="48" spans="1:31" x14ac:dyDescent="0.25">
      <c r="A48">
        <v>47</v>
      </c>
      <c r="B48">
        <v>5</v>
      </c>
      <c r="C48">
        <v>7</v>
      </c>
      <c r="D48">
        <v>9</v>
      </c>
      <c r="E48">
        <v>11</v>
      </c>
      <c r="F48">
        <v>13</v>
      </c>
      <c r="G48">
        <v>15</v>
      </c>
      <c r="H48">
        <v>17</v>
      </c>
      <c r="I48">
        <v>19</v>
      </c>
      <c r="J48">
        <v>21</v>
      </c>
      <c r="K48">
        <v>23</v>
      </c>
      <c r="L48">
        <v>25</v>
      </c>
      <c r="M48">
        <v>27</v>
      </c>
      <c r="N48">
        <v>29</v>
      </c>
      <c r="O48">
        <v>31</v>
      </c>
      <c r="P48">
        <v>33</v>
      </c>
      <c r="Q48">
        <v>35</v>
      </c>
      <c r="R48">
        <v>37</v>
      </c>
      <c r="S48">
        <v>39</v>
      </c>
      <c r="T48">
        <v>41</v>
      </c>
      <c r="U48">
        <v>43</v>
      </c>
      <c r="V48">
        <v>45</v>
      </c>
      <c r="W48">
        <v>47</v>
      </c>
      <c r="X48">
        <v>49</v>
      </c>
      <c r="Y48">
        <v>51</v>
      </c>
      <c r="Z48">
        <v>53</v>
      </c>
      <c r="AA48">
        <v>55</v>
      </c>
      <c r="AB48">
        <v>57</v>
      </c>
      <c r="AC48">
        <v>59</v>
      </c>
    </row>
    <row r="49" spans="1:31" x14ac:dyDescent="0.25">
      <c r="A49">
        <v>48</v>
      </c>
      <c r="B49">
        <v>32</v>
      </c>
      <c r="C49">
        <v>34</v>
      </c>
      <c r="D49">
        <v>36</v>
      </c>
      <c r="E49">
        <v>38</v>
      </c>
      <c r="F49">
        <v>40</v>
      </c>
      <c r="G49">
        <v>42</v>
      </c>
      <c r="H49">
        <v>44</v>
      </c>
      <c r="I49">
        <v>46</v>
      </c>
      <c r="J49">
        <v>48</v>
      </c>
      <c r="K49">
        <v>50</v>
      </c>
      <c r="L49">
        <v>52</v>
      </c>
      <c r="M49">
        <v>54</v>
      </c>
      <c r="N49">
        <v>56</v>
      </c>
      <c r="O49">
        <v>58</v>
      </c>
      <c r="P49">
        <v>60</v>
      </c>
      <c r="Q49">
        <v>62</v>
      </c>
    </row>
    <row r="50" spans="1:31" x14ac:dyDescent="0.25">
      <c r="A50">
        <v>49</v>
      </c>
      <c r="B50">
        <v>3</v>
      </c>
      <c r="C50">
        <v>5</v>
      </c>
      <c r="D50">
        <v>7</v>
      </c>
      <c r="E50">
        <v>9</v>
      </c>
      <c r="F50">
        <v>11</v>
      </c>
      <c r="G50">
        <v>13</v>
      </c>
      <c r="H50">
        <v>15</v>
      </c>
      <c r="I50">
        <v>17</v>
      </c>
      <c r="J50">
        <v>19</v>
      </c>
      <c r="K50">
        <v>21</v>
      </c>
      <c r="L50">
        <v>23</v>
      </c>
      <c r="M50">
        <v>25</v>
      </c>
      <c r="N50">
        <v>27</v>
      </c>
      <c r="O50">
        <v>29</v>
      </c>
      <c r="P50">
        <v>31</v>
      </c>
      <c r="Q50">
        <v>33</v>
      </c>
      <c r="R50">
        <v>35</v>
      </c>
      <c r="S50">
        <v>37</v>
      </c>
      <c r="T50">
        <v>39</v>
      </c>
      <c r="U50">
        <v>41</v>
      </c>
      <c r="V50">
        <v>43</v>
      </c>
      <c r="W50">
        <v>45</v>
      </c>
      <c r="X50">
        <v>47</v>
      </c>
      <c r="Y50">
        <v>49</v>
      </c>
      <c r="Z50">
        <v>51</v>
      </c>
      <c r="AA50">
        <v>53</v>
      </c>
      <c r="AB50">
        <v>55</v>
      </c>
      <c r="AC50">
        <v>57</v>
      </c>
      <c r="AD50">
        <v>59</v>
      </c>
      <c r="AE50">
        <v>61</v>
      </c>
    </row>
    <row r="51" spans="1:31" x14ac:dyDescent="0.25">
      <c r="A51">
        <v>50</v>
      </c>
      <c r="B51">
        <v>5</v>
      </c>
      <c r="C51">
        <v>7</v>
      </c>
      <c r="D51">
        <v>9</v>
      </c>
      <c r="E51">
        <v>11</v>
      </c>
      <c r="F51">
        <v>13</v>
      </c>
      <c r="G51">
        <v>15</v>
      </c>
      <c r="H51">
        <v>17</v>
      </c>
      <c r="I51">
        <v>19</v>
      </c>
      <c r="J51">
        <v>21</v>
      </c>
      <c r="K51">
        <v>23</v>
      </c>
      <c r="L51">
        <v>25</v>
      </c>
      <c r="M51">
        <v>27</v>
      </c>
      <c r="N51">
        <v>29</v>
      </c>
      <c r="O51">
        <v>31</v>
      </c>
      <c r="P51">
        <v>33</v>
      </c>
      <c r="Q51">
        <v>35</v>
      </c>
      <c r="R51">
        <v>37</v>
      </c>
      <c r="S51">
        <v>39</v>
      </c>
      <c r="T51">
        <v>41</v>
      </c>
      <c r="U51">
        <v>43</v>
      </c>
      <c r="V51">
        <v>45</v>
      </c>
      <c r="W51">
        <v>47</v>
      </c>
      <c r="X51">
        <v>49</v>
      </c>
      <c r="Y51">
        <v>51</v>
      </c>
      <c r="Z51">
        <v>53</v>
      </c>
      <c r="AA51">
        <v>55</v>
      </c>
      <c r="AB51">
        <v>57</v>
      </c>
      <c r="AC51">
        <v>59</v>
      </c>
      <c r="AD51">
        <v>61</v>
      </c>
    </row>
    <row r="52" spans="1:31" x14ac:dyDescent="0.25">
      <c r="A52">
        <v>51</v>
      </c>
      <c r="B52">
        <v>4</v>
      </c>
      <c r="C52">
        <v>6</v>
      </c>
      <c r="D52">
        <v>8</v>
      </c>
      <c r="E52">
        <v>10</v>
      </c>
      <c r="F52">
        <v>12</v>
      </c>
      <c r="G52">
        <v>14</v>
      </c>
      <c r="H52">
        <v>16</v>
      </c>
      <c r="I52">
        <v>18</v>
      </c>
      <c r="J52">
        <v>20</v>
      </c>
      <c r="K52">
        <v>22</v>
      </c>
      <c r="L52">
        <v>24</v>
      </c>
      <c r="M52">
        <v>26</v>
      </c>
      <c r="N52">
        <v>28</v>
      </c>
      <c r="O52">
        <v>30</v>
      </c>
      <c r="P52">
        <v>32</v>
      </c>
      <c r="Q52">
        <v>34</v>
      </c>
      <c r="R52">
        <v>36</v>
      </c>
      <c r="S52">
        <v>38</v>
      </c>
      <c r="T52">
        <v>40</v>
      </c>
      <c r="U52">
        <v>42</v>
      </c>
      <c r="V52">
        <v>44</v>
      </c>
      <c r="W52">
        <v>46</v>
      </c>
      <c r="X52">
        <v>48</v>
      </c>
      <c r="Y52">
        <v>50</v>
      </c>
      <c r="Z52">
        <v>52</v>
      </c>
      <c r="AA52">
        <v>54</v>
      </c>
      <c r="AB52">
        <v>56</v>
      </c>
      <c r="AC52">
        <v>58</v>
      </c>
      <c r="AD52">
        <v>60</v>
      </c>
    </row>
    <row r="53" spans="1:31" x14ac:dyDescent="0.25">
      <c r="A53">
        <v>52</v>
      </c>
      <c r="B53">
        <v>9</v>
      </c>
      <c r="C53">
        <v>11</v>
      </c>
      <c r="D53">
        <v>13</v>
      </c>
      <c r="E53">
        <v>15</v>
      </c>
      <c r="F53">
        <v>17</v>
      </c>
      <c r="G53">
        <v>19</v>
      </c>
      <c r="H53">
        <v>21</v>
      </c>
      <c r="I53">
        <v>23</v>
      </c>
      <c r="J53">
        <v>25</v>
      </c>
      <c r="K53">
        <v>27</v>
      </c>
      <c r="L53">
        <v>29</v>
      </c>
      <c r="M53">
        <v>31</v>
      </c>
      <c r="N53">
        <v>33</v>
      </c>
      <c r="O53">
        <v>35</v>
      </c>
      <c r="P53">
        <v>37</v>
      </c>
      <c r="Q53">
        <v>39</v>
      </c>
      <c r="R53">
        <v>41</v>
      </c>
      <c r="S53">
        <v>43</v>
      </c>
      <c r="T53">
        <v>45</v>
      </c>
      <c r="U53">
        <v>47</v>
      </c>
      <c r="V53">
        <v>49</v>
      </c>
      <c r="W53">
        <v>51</v>
      </c>
      <c r="X53">
        <v>53</v>
      </c>
      <c r="Y53">
        <v>55</v>
      </c>
      <c r="Z53">
        <v>57</v>
      </c>
      <c r="AA53">
        <v>59</v>
      </c>
      <c r="AB53">
        <v>61</v>
      </c>
    </row>
    <row r="54" spans="1:31" x14ac:dyDescent="0.25">
      <c r="A54">
        <v>53</v>
      </c>
      <c r="B54">
        <v>4</v>
      </c>
      <c r="C54">
        <v>6</v>
      </c>
      <c r="D54">
        <v>8</v>
      </c>
      <c r="E54">
        <v>10</v>
      </c>
      <c r="F54">
        <v>12</v>
      </c>
      <c r="G54">
        <v>14</v>
      </c>
      <c r="H54">
        <v>16</v>
      </c>
      <c r="I54">
        <v>18</v>
      </c>
      <c r="J54">
        <v>20</v>
      </c>
      <c r="K54">
        <v>22</v>
      </c>
      <c r="L54">
        <v>24</v>
      </c>
      <c r="M54">
        <v>26</v>
      </c>
      <c r="N54">
        <v>28</v>
      </c>
      <c r="O54">
        <v>30</v>
      </c>
      <c r="P54">
        <v>32</v>
      </c>
      <c r="Q54">
        <v>34</v>
      </c>
      <c r="R54">
        <v>36</v>
      </c>
      <c r="S54">
        <v>38</v>
      </c>
      <c r="T54">
        <v>40</v>
      </c>
      <c r="U54">
        <v>42</v>
      </c>
      <c r="V54">
        <v>44</v>
      </c>
      <c r="W54">
        <v>46</v>
      </c>
      <c r="X54">
        <v>48</v>
      </c>
      <c r="Y54">
        <v>50</v>
      </c>
      <c r="Z54">
        <v>52</v>
      </c>
      <c r="AA54">
        <v>54</v>
      </c>
      <c r="AB54">
        <v>56</v>
      </c>
      <c r="AC54">
        <v>58</v>
      </c>
      <c r="AD54">
        <v>60</v>
      </c>
    </row>
    <row r="55" spans="1:31" x14ac:dyDescent="0.25">
      <c r="A55">
        <v>54</v>
      </c>
      <c r="B55">
        <v>6</v>
      </c>
      <c r="C55">
        <v>8</v>
      </c>
      <c r="D55">
        <v>10</v>
      </c>
      <c r="E55">
        <v>12</v>
      </c>
      <c r="F55">
        <v>14</v>
      </c>
      <c r="G55">
        <v>16</v>
      </c>
      <c r="H55">
        <v>18</v>
      </c>
      <c r="I55">
        <v>20</v>
      </c>
      <c r="J55">
        <v>22</v>
      </c>
      <c r="K55">
        <v>24</v>
      </c>
      <c r="L55">
        <v>26</v>
      </c>
      <c r="M55">
        <v>28</v>
      </c>
      <c r="N55">
        <v>30</v>
      </c>
      <c r="O55">
        <v>32</v>
      </c>
      <c r="P55">
        <v>34</v>
      </c>
      <c r="Q55">
        <v>36</v>
      </c>
      <c r="R55">
        <v>38</v>
      </c>
      <c r="S55">
        <v>40</v>
      </c>
      <c r="T55">
        <v>42</v>
      </c>
      <c r="U55">
        <v>44</v>
      </c>
      <c r="V55">
        <v>46</v>
      </c>
      <c r="W55">
        <v>48</v>
      </c>
      <c r="X55">
        <v>50</v>
      </c>
      <c r="Y55">
        <v>52</v>
      </c>
      <c r="Z55">
        <v>54</v>
      </c>
      <c r="AA55">
        <v>56</v>
      </c>
      <c r="AB55">
        <v>58</v>
      </c>
      <c r="AC55">
        <v>60</v>
      </c>
    </row>
    <row r="56" spans="1:31" x14ac:dyDescent="0.25">
      <c r="A56">
        <v>55</v>
      </c>
      <c r="B56">
        <v>5</v>
      </c>
      <c r="C56">
        <v>7</v>
      </c>
      <c r="D56">
        <v>9</v>
      </c>
      <c r="E56">
        <v>11</v>
      </c>
      <c r="F56">
        <v>13</v>
      </c>
      <c r="G56">
        <v>15</v>
      </c>
      <c r="H56">
        <v>17</v>
      </c>
      <c r="I56">
        <v>19</v>
      </c>
      <c r="J56">
        <v>21</v>
      </c>
      <c r="K56">
        <v>23</v>
      </c>
      <c r="L56">
        <v>25</v>
      </c>
      <c r="M56">
        <v>27</v>
      </c>
      <c r="N56">
        <v>29</v>
      </c>
      <c r="O56">
        <v>31</v>
      </c>
      <c r="P56">
        <v>33</v>
      </c>
      <c r="Q56">
        <v>35</v>
      </c>
      <c r="R56">
        <v>37</v>
      </c>
      <c r="S56">
        <v>39</v>
      </c>
      <c r="T56">
        <v>41</v>
      </c>
      <c r="U56">
        <v>43</v>
      </c>
      <c r="V56">
        <v>45</v>
      </c>
      <c r="W56">
        <v>47</v>
      </c>
      <c r="X56">
        <v>49</v>
      </c>
      <c r="Y56">
        <v>51</v>
      </c>
      <c r="Z56">
        <v>53</v>
      </c>
      <c r="AA56">
        <v>55</v>
      </c>
      <c r="AB56">
        <v>57</v>
      </c>
      <c r="AC56">
        <v>59</v>
      </c>
    </row>
    <row r="57" spans="1:31" x14ac:dyDescent="0.25">
      <c r="A57">
        <v>56</v>
      </c>
      <c r="B57">
        <v>17</v>
      </c>
      <c r="C57">
        <v>19</v>
      </c>
      <c r="D57">
        <v>21</v>
      </c>
      <c r="E57">
        <v>23</v>
      </c>
      <c r="F57">
        <v>25</v>
      </c>
      <c r="G57">
        <v>27</v>
      </c>
      <c r="H57">
        <v>29</v>
      </c>
      <c r="I57">
        <v>31</v>
      </c>
      <c r="J57">
        <v>33</v>
      </c>
      <c r="K57">
        <v>35</v>
      </c>
      <c r="L57">
        <v>37</v>
      </c>
      <c r="M57">
        <v>39</v>
      </c>
      <c r="N57">
        <v>41</v>
      </c>
      <c r="O57">
        <v>43</v>
      </c>
      <c r="P57">
        <v>45</v>
      </c>
      <c r="Q57">
        <v>47</v>
      </c>
      <c r="R57">
        <v>49</v>
      </c>
      <c r="S57">
        <v>51</v>
      </c>
      <c r="T57">
        <v>53</v>
      </c>
      <c r="U57">
        <v>55</v>
      </c>
      <c r="V57">
        <v>57</v>
      </c>
      <c r="W57">
        <v>59</v>
      </c>
      <c r="X57">
        <v>61</v>
      </c>
    </row>
    <row r="58" spans="1:31" x14ac:dyDescent="0.25">
      <c r="A58">
        <v>57</v>
      </c>
      <c r="B58">
        <v>4</v>
      </c>
      <c r="C58">
        <v>6</v>
      </c>
      <c r="D58">
        <v>8</v>
      </c>
      <c r="E58">
        <v>10</v>
      </c>
      <c r="F58">
        <v>12</v>
      </c>
      <c r="G58">
        <v>14</v>
      </c>
      <c r="H58">
        <v>16</v>
      </c>
      <c r="I58">
        <v>18</v>
      </c>
      <c r="J58">
        <v>20</v>
      </c>
      <c r="K58">
        <v>22</v>
      </c>
      <c r="L58">
        <v>24</v>
      </c>
      <c r="M58">
        <v>26</v>
      </c>
      <c r="N58">
        <v>28</v>
      </c>
      <c r="O58">
        <v>30</v>
      </c>
      <c r="P58">
        <v>32</v>
      </c>
      <c r="Q58">
        <v>34</v>
      </c>
      <c r="R58">
        <v>36</v>
      </c>
      <c r="S58">
        <v>38</v>
      </c>
      <c r="T58">
        <v>40</v>
      </c>
      <c r="U58">
        <v>42</v>
      </c>
      <c r="V58">
        <v>44</v>
      </c>
      <c r="W58">
        <v>46</v>
      </c>
      <c r="X58">
        <v>48</v>
      </c>
      <c r="Y58">
        <v>50</v>
      </c>
      <c r="Z58">
        <v>52</v>
      </c>
      <c r="AA58">
        <v>54</v>
      </c>
      <c r="AB58">
        <v>56</v>
      </c>
      <c r="AC58">
        <v>58</v>
      </c>
      <c r="AD58">
        <v>60</v>
      </c>
    </row>
    <row r="59" spans="1:31" x14ac:dyDescent="0.25">
      <c r="A59">
        <v>58</v>
      </c>
      <c r="B59">
        <v>6</v>
      </c>
      <c r="C59">
        <v>8</v>
      </c>
      <c r="D59">
        <v>10</v>
      </c>
      <c r="E59">
        <v>12</v>
      </c>
      <c r="F59">
        <v>14</v>
      </c>
      <c r="G59">
        <v>16</v>
      </c>
      <c r="H59">
        <v>18</v>
      </c>
      <c r="I59">
        <v>20</v>
      </c>
      <c r="J59">
        <v>22</v>
      </c>
      <c r="K59">
        <v>24</v>
      </c>
      <c r="L59">
        <v>26</v>
      </c>
      <c r="M59">
        <v>28</v>
      </c>
      <c r="N59">
        <v>30</v>
      </c>
      <c r="O59">
        <v>32</v>
      </c>
      <c r="P59">
        <v>34</v>
      </c>
      <c r="Q59">
        <v>36</v>
      </c>
      <c r="R59">
        <v>38</v>
      </c>
      <c r="S59">
        <v>40</v>
      </c>
      <c r="T59">
        <v>42</v>
      </c>
      <c r="U59">
        <v>44</v>
      </c>
      <c r="V59">
        <v>46</v>
      </c>
      <c r="W59">
        <v>48</v>
      </c>
      <c r="X59">
        <v>50</v>
      </c>
      <c r="Y59">
        <v>52</v>
      </c>
      <c r="Z59">
        <v>54</v>
      </c>
      <c r="AA59">
        <v>56</v>
      </c>
      <c r="AB59">
        <v>58</v>
      </c>
      <c r="AC59">
        <v>60</v>
      </c>
    </row>
    <row r="60" spans="1:31" x14ac:dyDescent="0.25">
      <c r="A60">
        <v>59</v>
      </c>
      <c r="B60">
        <v>5</v>
      </c>
      <c r="C60">
        <v>7</v>
      </c>
      <c r="D60">
        <v>9</v>
      </c>
      <c r="E60">
        <v>11</v>
      </c>
      <c r="F60">
        <v>13</v>
      </c>
      <c r="G60">
        <v>15</v>
      </c>
      <c r="H60">
        <v>17</v>
      </c>
      <c r="I60">
        <v>19</v>
      </c>
      <c r="J60">
        <v>21</v>
      </c>
      <c r="K60">
        <v>23</v>
      </c>
      <c r="L60">
        <v>25</v>
      </c>
      <c r="M60">
        <v>27</v>
      </c>
      <c r="N60">
        <v>29</v>
      </c>
      <c r="O60">
        <v>31</v>
      </c>
      <c r="P60">
        <v>33</v>
      </c>
      <c r="Q60">
        <v>35</v>
      </c>
      <c r="R60">
        <v>37</v>
      </c>
      <c r="S60">
        <v>39</v>
      </c>
      <c r="T60">
        <v>41</v>
      </c>
      <c r="U60">
        <v>43</v>
      </c>
      <c r="V60">
        <v>45</v>
      </c>
      <c r="W60">
        <v>47</v>
      </c>
      <c r="X60">
        <v>49</v>
      </c>
      <c r="Y60">
        <v>51</v>
      </c>
      <c r="Z60">
        <v>53</v>
      </c>
      <c r="AA60">
        <v>55</v>
      </c>
      <c r="AB60">
        <v>57</v>
      </c>
      <c r="AC60">
        <v>59</v>
      </c>
    </row>
    <row r="61" spans="1:31" x14ac:dyDescent="0.25">
      <c r="A61">
        <v>60</v>
      </c>
      <c r="B61">
        <v>10</v>
      </c>
      <c r="C61">
        <v>12</v>
      </c>
      <c r="D61">
        <v>14</v>
      </c>
      <c r="E61">
        <v>16</v>
      </c>
      <c r="F61">
        <v>18</v>
      </c>
      <c r="G61">
        <v>20</v>
      </c>
      <c r="H61">
        <v>22</v>
      </c>
      <c r="I61">
        <v>24</v>
      </c>
      <c r="J61">
        <v>26</v>
      </c>
      <c r="K61">
        <v>28</v>
      </c>
      <c r="L61">
        <v>30</v>
      </c>
      <c r="M61">
        <v>32</v>
      </c>
      <c r="N61">
        <v>34</v>
      </c>
      <c r="O61">
        <v>36</v>
      </c>
      <c r="P61">
        <v>38</v>
      </c>
      <c r="Q61">
        <v>40</v>
      </c>
      <c r="R61">
        <v>42</v>
      </c>
      <c r="S61">
        <v>44</v>
      </c>
      <c r="T61">
        <v>46</v>
      </c>
      <c r="U61">
        <v>48</v>
      </c>
      <c r="V61">
        <v>50</v>
      </c>
      <c r="W61">
        <v>52</v>
      </c>
      <c r="X61">
        <v>54</v>
      </c>
      <c r="Y61">
        <v>56</v>
      </c>
      <c r="Z61">
        <v>58</v>
      </c>
      <c r="AA61">
        <v>60</v>
      </c>
    </row>
    <row r="62" spans="1:31" x14ac:dyDescent="0.25">
      <c r="A62">
        <v>61</v>
      </c>
      <c r="B62">
        <v>5</v>
      </c>
      <c r="C62">
        <v>7</v>
      </c>
      <c r="D62">
        <v>9</v>
      </c>
      <c r="E62">
        <v>11</v>
      </c>
      <c r="F62">
        <v>13</v>
      </c>
      <c r="G62">
        <v>15</v>
      </c>
      <c r="H62">
        <v>17</v>
      </c>
      <c r="I62">
        <v>19</v>
      </c>
      <c r="J62">
        <v>21</v>
      </c>
      <c r="K62">
        <v>23</v>
      </c>
      <c r="L62">
        <v>25</v>
      </c>
      <c r="M62">
        <v>27</v>
      </c>
      <c r="N62">
        <v>29</v>
      </c>
      <c r="O62">
        <v>31</v>
      </c>
      <c r="P62">
        <v>33</v>
      </c>
      <c r="Q62">
        <v>35</v>
      </c>
      <c r="R62">
        <v>37</v>
      </c>
      <c r="S62">
        <v>39</v>
      </c>
      <c r="T62">
        <v>41</v>
      </c>
      <c r="U62">
        <v>43</v>
      </c>
      <c r="V62">
        <v>45</v>
      </c>
      <c r="W62">
        <v>47</v>
      </c>
      <c r="X62">
        <v>49</v>
      </c>
      <c r="Y62">
        <v>51</v>
      </c>
      <c r="Z62">
        <v>53</v>
      </c>
      <c r="AA62">
        <v>55</v>
      </c>
      <c r="AB62">
        <v>57</v>
      </c>
      <c r="AC62">
        <v>59</v>
      </c>
    </row>
    <row r="63" spans="1:31" x14ac:dyDescent="0.25">
      <c r="A63">
        <v>62</v>
      </c>
      <c r="B63">
        <v>7</v>
      </c>
      <c r="C63">
        <v>9</v>
      </c>
      <c r="D63">
        <v>11</v>
      </c>
      <c r="E63">
        <v>13</v>
      </c>
      <c r="F63">
        <v>15</v>
      </c>
      <c r="G63">
        <v>17</v>
      </c>
      <c r="H63">
        <v>19</v>
      </c>
      <c r="I63">
        <v>21</v>
      </c>
      <c r="J63">
        <v>23</v>
      </c>
      <c r="K63">
        <v>25</v>
      </c>
      <c r="L63">
        <v>27</v>
      </c>
      <c r="M63">
        <v>29</v>
      </c>
      <c r="N63">
        <v>31</v>
      </c>
      <c r="O63">
        <v>33</v>
      </c>
      <c r="P63">
        <v>35</v>
      </c>
      <c r="Q63">
        <v>37</v>
      </c>
      <c r="R63">
        <v>39</v>
      </c>
      <c r="S63">
        <v>41</v>
      </c>
      <c r="T63">
        <v>43</v>
      </c>
      <c r="U63">
        <v>45</v>
      </c>
      <c r="V63">
        <v>47</v>
      </c>
      <c r="W63">
        <v>49</v>
      </c>
      <c r="X63">
        <v>51</v>
      </c>
      <c r="Y63">
        <v>53</v>
      </c>
      <c r="Z63">
        <v>55</v>
      </c>
      <c r="AA63">
        <v>57</v>
      </c>
      <c r="AB63">
        <v>59</v>
      </c>
    </row>
    <row r="64" spans="1:31" x14ac:dyDescent="0.25">
      <c r="A64">
        <v>63</v>
      </c>
      <c r="B64">
        <v>6</v>
      </c>
      <c r="C64">
        <v>8</v>
      </c>
      <c r="D64">
        <v>10</v>
      </c>
      <c r="E64">
        <v>12</v>
      </c>
      <c r="F64">
        <v>14</v>
      </c>
      <c r="G64">
        <v>16</v>
      </c>
      <c r="H64">
        <v>18</v>
      </c>
      <c r="I64">
        <v>20</v>
      </c>
      <c r="J64">
        <v>22</v>
      </c>
      <c r="K64">
        <v>24</v>
      </c>
      <c r="L64">
        <v>26</v>
      </c>
      <c r="M64">
        <v>28</v>
      </c>
      <c r="N64">
        <v>30</v>
      </c>
      <c r="O64">
        <v>32</v>
      </c>
      <c r="P64">
        <v>34</v>
      </c>
      <c r="Q64">
        <v>36</v>
      </c>
      <c r="R64">
        <v>38</v>
      </c>
      <c r="S64">
        <v>40</v>
      </c>
      <c r="T64">
        <v>42</v>
      </c>
      <c r="U64">
        <v>44</v>
      </c>
      <c r="V64">
        <v>46</v>
      </c>
      <c r="W64">
        <v>48</v>
      </c>
      <c r="X64">
        <v>50</v>
      </c>
      <c r="Y64">
        <v>52</v>
      </c>
      <c r="Z64">
        <v>54</v>
      </c>
      <c r="AA64">
        <v>56</v>
      </c>
      <c r="AB64">
        <v>58</v>
      </c>
    </row>
  </sheetData>
  <conditionalFormatting sqref="B1:AE64">
    <cfRule type="expression" dxfId="4" priority="1">
      <formula>"isodd(B1)"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7A77-5EAB-44D4-9133-826DB6CA8B4E}">
  <dimension ref="A1:BM39"/>
  <sheetViews>
    <sheetView tabSelected="1" workbookViewId="0">
      <pane ySplit="1" topLeftCell="A2" activePane="bottomLeft" state="frozen"/>
      <selection pane="bottomLeft" activeCell="AP8" sqref="AP8"/>
    </sheetView>
  </sheetViews>
  <sheetFormatPr defaultColWidth="3.375" defaultRowHeight="15.75" x14ac:dyDescent="0.25"/>
  <cols>
    <col min="1" max="1" width="11.375" bestFit="1" customWidth="1"/>
    <col min="8" max="8" width="3.375" customWidth="1"/>
  </cols>
  <sheetData>
    <row r="1" spans="1:65" x14ac:dyDescent="0.25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</row>
    <row r="2" spans="1:65" x14ac:dyDescent="0.25">
      <c r="B2">
        <v>0</v>
      </c>
      <c r="C2">
        <v>1</v>
      </c>
      <c r="D2">
        <v>3</v>
      </c>
      <c r="E2">
        <v>2</v>
      </c>
      <c r="F2">
        <v>7</v>
      </c>
      <c r="G2">
        <v>2</v>
      </c>
      <c r="H2">
        <v>4</v>
      </c>
      <c r="I2">
        <v>3</v>
      </c>
      <c r="J2">
        <v>15</v>
      </c>
      <c r="K2">
        <v>2</v>
      </c>
      <c r="L2">
        <v>4</v>
      </c>
      <c r="M2">
        <v>3</v>
      </c>
      <c r="N2">
        <v>8</v>
      </c>
      <c r="O2">
        <v>3</v>
      </c>
      <c r="P2">
        <v>5</v>
      </c>
      <c r="Q2">
        <v>4</v>
      </c>
      <c r="R2">
        <v>31</v>
      </c>
      <c r="S2">
        <v>2</v>
      </c>
      <c r="T2">
        <v>4</v>
      </c>
      <c r="U2">
        <v>3</v>
      </c>
      <c r="V2">
        <v>8</v>
      </c>
      <c r="W2">
        <v>3</v>
      </c>
      <c r="X2">
        <v>5</v>
      </c>
      <c r="Y2">
        <v>4</v>
      </c>
      <c r="Z2">
        <v>16</v>
      </c>
      <c r="AA2">
        <v>3</v>
      </c>
      <c r="AB2">
        <v>5</v>
      </c>
      <c r="AC2">
        <v>4</v>
      </c>
      <c r="AD2">
        <v>9</v>
      </c>
      <c r="AE2">
        <v>4</v>
      </c>
      <c r="AF2">
        <v>6</v>
      </c>
      <c r="AG2">
        <v>5</v>
      </c>
      <c r="AH2">
        <v>63</v>
      </c>
      <c r="AI2">
        <v>2</v>
      </c>
      <c r="AJ2">
        <v>4</v>
      </c>
      <c r="AK2">
        <v>3</v>
      </c>
      <c r="AL2">
        <v>8</v>
      </c>
      <c r="AM2">
        <v>3</v>
      </c>
      <c r="AN2">
        <v>5</v>
      </c>
      <c r="AO2">
        <v>4</v>
      </c>
      <c r="AP2">
        <v>16</v>
      </c>
      <c r="AQ2">
        <v>3</v>
      </c>
      <c r="AR2">
        <v>5</v>
      </c>
      <c r="AS2">
        <v>4</v>
      </c>
      <c r="AT2">
        <v>9</v>
      </c>
      <c r="AU2">
        <v>4</v>
      </c>
      <c r="AV2">
        <v>6</v>
      </c>
      <c r="AW2">
        <v>5</v>
      </c>
      <c r="AX2">
        <v>32</v>
      </c>
      <c r="AY2">
        <v>3</v>
      </c>
      <c r="AZ2">
        <v>5</v>
      </c>
      <c r="BA2">
        <v>4</v>
      </c>
      <c r="BB2">
        <v>9</v>
      </c>
      <c r="BC2">
        <v>4</v>
      </c>
      <c r="BD2">
        <v>6</v>
      </c>
      <c r="BE2">
        <v>5</v>
      </c>
      <c r="BF2">
        <v>17</v>
      </c>
      <c r="BG2">
        <v>4</v>
      </c>
      <c r="BH2">
        <v>6</v>
      </c>
      <c r="BI2">
        <v>5</v>
      </c>
      <c r="BJ2">
        <v>10</v>
      </c>
      <c r="BK2">
        <v>5</v>
      </c>
      <c r="BL2">
        <v>7</v>
      </c>
      <c r="BM2">
        <v>6</v>
      </c>
    </row>
    <row r="3" spans="1:65" x14ac:dyDescent="0.25">
      <c r="D3">
        <v>5</v>
      </c>
      <c r="E3">
        <v>4</v>
      </c>
      <c r="F3">
        <v>9</v>
      </c>
      <c r="G3">
        <v>4</v>
      </c>
      <c r="H3">
        <v>6</v>
      </c>
      <c r="I3">
        <v>5</v>
      </c>
      <c r="J3">
        <v>17</v>
      </c>
      <c r="K3">
        <v>4</v>
      </c>
      <c r="L3">
        <v>6</v>
      </c>
      <c r="M3">
        <v>5</v>
      </c>
      <c r="N3">
        <v>10</v>
      </c>
      <c r="O3">
        <v>5</v>
      </c>
      <c r="P3">
        <v>7</v>
      </c>
      <c r="Q3">
        <v>6</v>
      </c>
      <c r="R3">
        <v>33</v>
      </c>
      <c r="S3">
        <v>4</v>
      </c>
      <c r="T3">
        <v>6</v>
      </c>
      <c r="U3">
        <v>5</v>
      </c>
      <c r="V3">
        <v>10</v>
      </c>
      <c r="W3">
        <v>5</v>
      </c>
      <c r="X3">
        <v>7</v>
      </c>
      <c r="Y3">
        <v>6</v>
      </c>
      <c r="Z3">
        <v>18</v>
      </c>
      <c r="AA3">
        <v>5</v>
      </c>
      <c r="AB3">
        <v>7</v>
      </c>
      <c r="AC3">
        <v>6</v>
      </c>
      <c r="AD3">
        <v>11</v>
      </c>
      <c r="AE3">
        <v>6</v>
      </c>
      <c r="AF3">
        <v>8</v>
      </c>
      <c r="AG3">
        <v>7</v>
      </c>
      <c r="AI3">
        <v>6</v>
      </c>
      <c r="AJ3">
        <v>6</v>
      </c>
      <c r="AK3">
        <v>5</v>
      </c>
      <c r="AL3">
        <v>10</v>
      </c>
      <c r="AM3">
        <v>5</v>
      </c>
      <c r="AN3">
        <v>7</v>
      </c>
      <c r="AO3">
        <v>6</v>
      </c>
      <c r="AP3">
        <v>18</v>
      </c>
      <c r="AQ3">
        <v>5</v>
      </c>
      <c r="AR3">
        <v>7</v>
      </c>
      <c r="AS3">
        <v>6</v>
      </c>
      <c r="AT3">
        <v>11</v>
      </c>
      <c r="AU3">
        <v>6</v>
      </c>
      <c r="AV3">
        <v>8</v>
      </c>
      <c r="AW3">
        <v>7</v>
      </c>
      <c r="AX3">
        <v>34</v>
      </c>
      <c r="AY3">
        <v>5</v>
      </c>
      <c r="AZ3">
        <v>7</v>
      </c>
      <c r="BA3">
        <v>6</v>
      </c>
      <c r="BB3">
        <v>11</v>
      </c>
      <c r="BC3">
        <v>6</v>
      </c>
      <c r="BD3">
        <v>8</v>
      </c>
      <c r="BE3">
        <v>7</v>
      </c>
      <c r="BF3">
        <v>19</v>
      </c>
      <c r="BG3">
        <v>6</v>
      </c>
      <c r="BH3">
        <v>8</v>
      </c>
      <c r="BI3">
        <v>7</v>
      </c>
      <c r="BJ3">
        <v>12</v>
      </c>
      <c r="BK3">
        <v>7</v>
      </c>
      <c r="BL3">
        <v>9</v>
      </c>
      <c r="BM3">
        <v>8</v>
      </c>
    </row>
    <row r="4" spans="1:65" x14ac:dyDescent="0.25">
      <c r="D4">
        <v>7</v>
      </c>
      <c r="E4">
        <v>6</v>
      </c>
      <c r="F4">
        <v>11</v>
      </c>
      <c r="G4">
        <v>6</v>
      </c>
      <c r="H4">
        <v>8</v>
      </c>
      <c r="I4">
        <v>7</v>
      </c>
      <c r="J4">
        <v>19</v>
      </c>
      <c r="K4">
        <v>6</v>
      </c>
      <c r="L4">
        <v>8</v>
      </c>
      <c r="M4">
        <v>7</v>
      </c>
      <c r="N4">
        <v>12</v>
      </c>
      <c r="O4">
        <v>7</v>
      </c>
      <c r="P4">
        <v>9</v>
      </c>
      <c r="Q4">
        <v>8</v>
      </c>
      <c r="R4">
        <v>35</v>
      </c>
      <c r="S4">
        <v>6</v>
      </c>
      <c r="T4">
        <v>8</v>
      </c>
      <c r="U4">
        <v>7</v>
      </c>
      <c r="V4">
        <v>12</v>
      </c>
      <c r="W4">
        <v>7</v>
      </c>
      <c r="X4">
        <v>9</v>
      </c>
      <c r="Y4">
        <v>8</v>
      </c>
      <c r="Z4">
        <v>20</v>
      </c>
      <c r="AA4">
        <v>7</v>
      </c>
      <c r="AB4">
        <v>9</v>
      </c>
      <c r="AC4">
        <v>8</v>
      </c>
      <c r="AD4">
        <v>13</v>
      </c>
      <c r="AE4">
        <v>8</v>
      </c>
      <c r="AF4">
        <v>10</v>
      </c>
      <c r="AG4">
        <v>9</v>
      </c>
      <c r="AI4">
        <v>10</v>
      </c>
      <c r="AJ4">
        <v>8</v>
      </c>
      <c r="AK4">
        <v>7</v>
      </c>
      <c r="AL4">
        <v>12</v>
      </c>
      <c r="AM4">
        <v>7</v>
      </c>
      <c r="AN4">
        <v>9</v>
      </c>
      <c r="AO4">
        <v>8</v>
      </c>
      <c r="AP4">
        <v>20</v>
      </c>
      <c r="AQ4">
        <v>7</v>
      </c>
      <c r="AR4">
        <v>9</v>
      </c>
      <c r="AS4">
        <v>8</v>
      </c>
      <c r="AT4">
        <v>13</v>
      </c>
      <c r="AU4">
        <v>8</v>
      </c>
      <c r="AV4">
        <v>10</v>
      </c>
      <c r="AW4">
        <v>9</v>
      </c>
      <c r="AX4">
        <v>36</v>
      </c>
      <c r="AY4">
        <v>7</v>
      </c>
      <c r="AZ4">
        <v>9</v>
      </c>
      <c r="BA4">
        <v>8</v>
      </c>
      <c r="BB4">
        <v>13</v>
      </c>
      <c r="BC4">
        <v>8</v>
      </c>
      <c r="BD4">
        <v>10</v>
      </c>
      <c r="BE4">
        <v>9</v>
      </c>
      <c r="BF4">
        <v>21</v>
      </c>
      <c r="BG4">
        <v>8</v>
      </c>
      <c r="BH4">
        <v>10</v>
      </c>
      <c r="BI4">
        <v>9</v>
      </c>
      <c r="BJ4">
        <v>14</v>
      </c>
      <c r="BK4">
        <v>9</v>
      </c>
      <c r="BL4">
        <v>11</v>
      </c>
      <c r="BM4">
        <v>10</v>
      </c>
    </row>
    <row r="5" spans="1:65" x14ac:dyDescent="0.25">
      <c r="D5">
        <v>9</v>
      </c>
      <c r="E5">
        <v>8</v>
      </c>
      <c r="F5">
        <v>13</v>
      </c>
      <c r="G5">
        <v>8</v>
      </c>
      <c r="H5">
        <v>10</v>
      </c>
      <c r="I5">
        <v>9</v>
      </c>
      <c r="J5">
        <v>21</v>
      </c>
      <c r="K5">
        <v>8</v>
      </c>
      <c r="L5">
        <v>10</v>
      </c>
      <c r="M5">
        <v>9</v>
      </c>
      <c r="N5">
        <v>14</v>
      </c>
      <c r="O5">
        <v>9</v>
      </c>
      <c r="P5">
        <v>11</v>
      </c>
      <c r="Q5">
        <v>10</v>
      </c>
      <c r="R5">
        <v>37</v>
      </c>
      <c r="S5">
        <v>8</v>
      </c>
      <c r="T5">
        <v>10</v>
      </c>
      <c r="U5">
        <v>9</v>
      </c>
      <c r="V5">
        <v>14</v>
      </c>
      <c r="W5">
        <v>9</v>
      </c>
      <c r="X5">
        <v>11</v>
      </c>
      <c r="Y5">
        <v>10</v>
      </c>
      <c r="Z5">
        <v>22</v>
      </c>
      <c r="AA5">
        <v>9</v>
      </c>
      <c r="AB5">
        <v>11</v>
      </c>
      <c r="AC5">
        <v>10</v>
      </c>
      <c r="AD5">
        <v>15</v>
      </c>
      <c r="AE5">
        <v>10</v>
      </c>
      <c r="AF5">
        <v>12</v>
      </c>
      <c r="AG5">
        <v>11</v>
      </c>
      <c r="AI5">
        <v>14</v>
      </c>
      <c r="AJ5">
        <v>10</v>
      </c>
      <c r="AK5">
        <v>9</v>
      </c>
      <c r="AL5">
        <v>14</v>
      </c>
      <c r="AM5">
        <v>9</v>
      </c>
      <c r="AN5">
        <v>11</v>
      </c>
      <c r="AO5">
        <v>10</v>
      </c>
      <c r="AP5">
        <v>22</v>
      </c>
      <c r="AQ5">
        <v>9</v>
      </c>
      <c r="AR5">
        <v>11</v>
      </c>
      <c r="AS5">
        <v>10</v>
      </c>
      <c r="AT5">
        <v>15</v>
      </c>
      <c r="AU5">
        <v>10</v>
      </c>
      <c r="AV5">
        <v>12</v>
      </c>
      <c r="AW5">
        <v>11</v>
      </c>
      <c r="AX5">
        <v>38</v>
      </c>
      <c r="AY5">
        <v>9</v>
      </c>
      <c r="AZ5">
        <v>11</v>
      </c>
      <c r="BA5">
        <v>10</v>
      </c>
      <c r="BB5">
        <v>15</v>
      </c>
      <c r="BC5">
        <v>10</v>
      </c>
      <c r="BD5">
        <v>12</v>
      </c>
      <c r="BE5">
        <v>11</v>
      </c>
      <c r="BF5">
        <v>23</v>
      </c>
      <c r="BG5">
        <v>10</v>
      </c>
      <c r="BH5">
        <v>12</v>
      </c>
      <c r="BI5">
        <v>11</v>
      </c>
      <c r="BJ5">
        <v>16</v>
      </c>
      <c r="BK5">
        <v>11</v>
      </c>
      <c r="BL5">
        <v>13</v>
      </c>
      <c r="BM5">
        <v>12</v>
      </c>
    </row>
    <row r="6" spans="1:65" x14ac:dyDescent="0.25">
      <c r="D6">
        <v>11</v>
      </c>
      <c r="E6">
        <v>10</v>
      </c>
      <c r="F6">
        <v>15</v>
      </c>
      <c r="G6">
        <v>10</v>
      </c>
      <c r="H6">
        <v>12</v>
      </c>
      <c r="I6">
        <v>11</v>
      </c>
      <c r="J6">
        <v>23</v>
      </c>
      <c r="K6">
        <v>10</v>
      </c>
      <c r="L6">
        <v>12</v>
      </c>
      <c r="M6">
        <v>11</v>
      </c>
      <c r="N6">
        <v>16</v>
      </c>
      <c r="O6">
        <v>11</v>
      </c>
      <c r="P6">
        <v>13</v>
      </c>
      <c r="Q6">
        <v>12</v>
      </c>
      <c r="R6">
        <v>39</v>
      </c>
      <c r="S6">
        <v>10</v>
      </c>
      <c r="T6">
        <v>12</v>
      </c>
      <c r="U6">
        <v>11</v>
      </c>
      <c r="V6">
        <v>16</v>
      </c>
      <c r="W6">
        <v>11</v>
      </c>
      <c r="X6">
        <v>13</v>
      </c>
      <c r="Y6">
        <v>12</v>
      </c>
      <c r="Z6">
        <v>24</v>
      </c>
      <c r="AA6">
        <v>11</v>
      </c>
      <c r="AB6">
        <v>13</v>
      </c>
      <c r="AC6">
        <v>12</v>
      </c>
      <c r="AD6">
        <v>17</v>
      </c>
      <c r="AE6">
        <v>12</v>
      </c>
      <c r="AF6">
        <v>14</v>
      </c>
      <c r="AG6">
        <v>13</v>
      </c>
      <c r="AI6">
        <v>18</v>
      </c>
      <c r="AJ6">
        <v>12</v>
      </c>
      <c r="AK6">
        <v>11</v>
      </c>
      <c r="AL6">
        <v>16</v>
      </c>
      <c r="AM6">
        <v>11</v>
      </c>
      <c r="AN6">
        <v>13</v>
      </c>
      <c r="AO6">
        <v>12</v>
      </c>
      <c r="AP6">
        <v>24</v>
      </c>
      <c r="AQ6">
        <v>11</v>
      </c>
      <c r="AR6">
        <v>13</v>
      </c>
      <c r="AS6">
        <v>12</v>
      </c>
      <c r="AT6">
        <v>17</v>
      </c>
      <c r="AU6">
        <v>12</v>
      </c>
      <c r="AV6">
        <v>14</v>
      </c>
      <c r="AW6">
        <v>13</v>
      </c>
      <c r="AX6">
        <v>40</v>
      </c>
      <c r="AY6">
        <v>11</v>
      </c>
      <c r="AZ6">
        <v>13</v>
      </c>
      <c r="BA6">
        <v>12</v>
      </c>
      <c r="BB6">
        <v>17</v>
      </c>
      <c r="BC6">
        <v>12</v>
      </c>
      <c r="BD6">
        <v>14</v>
      </c>
      <c r="BE6">
        <v>13</v>
      </c>
      <c r="BF6">
        <v>25</v>
      </c>
      <c r="BG6">
        <v>12</v>
      </c>
      <c r="BH6">
        <v>14</v>
      </c>
      <c r="BI6">
        <v>13</v>
      </c>
      <c r="BJ6">
        <v>18</v>
      </c>
      <c r="BK6">
        <v>13</v>
      </c>
      <c r="BL6">
        <v>15</v>
      </c>
      <c r="BM6">
        <v>14</v>
      </c>
    </row>
    <row r="7" spans="1:65" x14ac:dyDescent="0.25">
      <c r="D7">
        <v>13</v>
      </c>
      <c r="E7">
        <v>12</v>
      </c>
      <c r="F7">
        <v>17</v>
      </c>
      <c r="G7">
        <v>12</v>
      </c>
      <c r="H7">
        <v>14</v>
      </c>
      <c r="I7">
        <v>13</v>
      </c>
      <c r="J7">
        <v>25</v>
      </c>
      <c r="K7">
        <v>12</v>
      </c>
      <c r="L7">
        <v>14</v>
      </c>
      <c r="M7">
        <v>13</v>
      </c>
      <c r="N7">
        <v>18</v>
      </c>
      <c r="O7">
        <v>13</v>
      </c>
      <c r="P7">
        <v>15</v>
      </c>
      <c r="Q7">
        <v>14</v>
      </c>
      <c r="R7">
        <v>41</v>
      </c>
      <c r="S7">
        <v>12</v>
      </c>
      <c r="T7">
        <v>14</v>
      </c>
      <c r="U7">
        <v>13</v>
      </c>
      <c r="V7">
        <v>18</v>
      </c>
      <c r="W7">
        <v>13</v>
      </c>
      <c r="X7">
        <v>15</v>
      </c>
      <c r="Y7">
        <v>14</v>
      </c>
      <c r="Z7">
        <v>26</v>
      </c>
      <c r="AA7">
        <v>13</v>
      </c>
      <c r="AB7">
        <v>15</v>
      </c>
      <c r="AC7">
        <v>14</v>
      </c>
      <c r="AD7">
        <v>19</v>
      </c>
      <c r="AE7">
        <v>14</v>
      </c>
      <c r="AF7">
        <v>16</v>
      </c>
      <c r="AG7">
        <v>15</v>
      </c>
      <c r="AI7">
        <v>22</v>
      </c>
      <c r="AJ7">
        <v>14</v>
      </c>
      <c r="AK7">
        <v>13</v>
      </c>
      <c r="AL7">
        <v>18</v>
      </c>
      <c r="AM7">
        <v>13</v>
      </c>
      <c r="AN7">
        <v>15</v>
      </c>
      <c r="AO7">
        <v>14</v>
      </c>
      <c r="AP7">
        <v>26</v>
      </c>
      <c r="AQ7">
        <v>13</v>
      </c>
      <c r="AR7">
        <v>15</v>
      </c>
      <c r="AS7">
        <v>14</v>
      </c>
      <c r="AT7">
        <v>19</v>
      </c>
      <c r="AU7">
        <v>14</v>
      </c>
      <c r="AV7">
        <v>16</v>
      </c>
      <c r="AW7">
        <v>15</v>
      </c>
      <c r="AX7">
        <v>42</v>
      </c>
      <c r="AY7">
        <v>13</v>
      </c>
      <c r="AZ7">
        <v>15</v>
      </c>
      <c r="BA7">
        <v>14</v>
      </c>
      <c r="BB7">
        <v>19</v>
      </c>
      <c r="BC7">
        <v>14</v>
      </c>
      <c r="BD7">
        <v>16</v>
      </c>
      <c r="BE7">
        <v>15</v>
      </c>
      <c r="BF7">
        <v>27</v>
      </c>
      <c r="BG7">
        <v>14</v>
      </c>
      <c r="BH7">
        <v>16</v>
      </c>
      <c r="BI7">
        <v>15</v>
      </c>
      <c r="BJ7">
        <v>20</v>
      </c>
      <c r="BK7">
        <v>15</v>
      </c>
      <c r="BL7">
        <v>17</v>
      </c>
      <c r="BM7">
        <v>16</v>
      </c>
    </row>
    <row r="8" spans="1:65" x14ac:dyDescent="0.25">
      <c r="D8">
        <v>15</v>
      </c>
      <c r="E8">
        <v>14</v>
      </c>
      <c r="F8">
        <v>19</v>
      </c>
      <c r="G8">
        <v>14</v>
      </c>
      <c r="H8">
        <v>16</v>
      </c>
      <c r="I8">
        <v>15</v>
      </c>
      <c r="J8">
        <v>27</v>
      </c>
      <c r="K8">
        <v>14</v>
      </c>
      <c r="L8">
        <v>16</v>
      </c>
      <c r="M8">
        <v>15</v>
      </c>
      <c r="N8">
        <v>20</v>
      </c>
      <c r="O8">
        <v>15</v>
      </c>
      <c r="P8">
        <v>17</v>
      </c>
      <c r="Q8">
        <v>16</v>
      </c>
      <c r="R8">
        <v>43</v>
      </c>
      <c r="S8">
        <v>14</v>
      </c>
      <c r="T8">
        <v>16</v>
      </c>
      <c r="U8">
        <v>15</v>
      </c>
      <c r="V8">
        <v>20</v>
      </c>
      <c r="W8">
        <v>15</v>
      </c>
      <c r="X8">
        <v>17</v>
      </c>
      <c r="Y8">
        <v>16</v>
      </c>
      <c r="Z8">
        <v>28</v>
      </c>
      <c r="AA8">
        <v>15</v>
      </c>
      <c r="AB8">
        <v>17</v>
      </c>
      <c r="AC8">
        <v>16</v>
      </c>
      <c r="AD8">
        <v>21</v>
      </c>
      <c r="AE8">
        <v>16</v>
      </c>
      <c r="AF8">
        <v>18</v>
      </c>
      <c r="AG8">
        <v>17</v>
      </c>
      <c r="AI8">
        <v>26</v>
      </c>
      <c r="AJ8">
        <v>16</v>
      </c>
      <c r="AK8">
        <v>15</v>
      </c>
      <c r="AL8">
        <v>20</v>
      </c>
      <c r="AM8">
        <v>15</v>
      </c>
      <c r="AN8">
        <v>17</v>
      </c>
      <c r="AO8">
        <v>16</v>
      </c>
      <c r="AP8">
        <v>28</v>
      </c>
      <c r="AQ8">
        <v>15</v>
      </c>
      <c r="AR8">
        <v>17</v>
      </c>
      <c r="AS8">
        <v>16</v>
      </c>
      <c r="AT8">
        <v>21</v>
      </c>
      <c r="AU8">
        <v>16</v>
      </c>
      <c r="AV8">
        <v>18</v>
      </c>
      <c r="AW8">
        <v>17</v>
      </c>
      <c r="AX8">
        <v>44</v>
      </c>
      <c r="AY8">
        <v>15</v>
      </c>
      <c r="AZ8">
        <v>17</v>
      </c>
      <c r="BA8">
        <v>16</v>
      </c>
      <c r="BB8">
        <v>21</v>
      </c>
      <c r="BC8">
        <v>16</v>
      </c>
      <c r="BD8">
        <v>18</v>
      </c>
      <c r="BE8">
        <v>17</v>
      </c>
      <c r="BF8">
        <v>29</v>
      </c>
      <c r="BG8">
        <v>16</v>
      </c>
      <c r="BH8">
        <v>18</v>
      </c>
      <c r="BI8">
        <v>17</v>
      </c>
      <c r="BJ8">
        <v>22</v>
      </c>
      <c r="BK8">
        <v>17</v>
      </c>
      <c r="BL8">
        <v>19</v>
      </c>
      <c r="BM8">
        <v>18</v>
      </c>
    </row>
    <row r="9" spans="1:65" x14ac:dyDescent="0.25">
      <c r="D9">
        <v>17</v>
      </c>
      <c r="E9">
        <v>16</v>
      </c>
      <c r="F9">
        <v>21</v>
      </c>
      <c r="G9">
        <v>16</v>
      </c>
      <c r="H9">
        <v>18</v>
      </c>
      <c r="I9">
        <v>17</v>
      </c>
      <c r="J9">
        <v>29</v>
      </c>
      <c r="K9">
        <v>16</v>
      </c>
      <c r="L9">
        <v>18</v>
      </c>
      <c r="M9">
        <v>17</v>
      </c>
      <c r="N9">
        <v>22</v>
      </c>
      <c r="O9">
        <v>17</v>
      </c>
      <c r="P9">
        <v>19</v>
      </c>
      <c r="Q9">
        <v>18</v>
      </c>
      <c r="R9">
        <v>45</v>
      </c>
      <c r="S9">
        <v>16</v>
      </c>
      <c r="T9">
        <v>18</v>
      </c>
      <c r="U9">
        <v>17</v>
      </c>
      <c r="V9">
        <v>22</v>
      </c>
      <c r="W9">
        <v>17</v>
      </c>
      <c r="X9">
        <v>19</v>
      </c>
      <c r="Y9">
        <v>18</v>
      </c>
      <c r="Z9">
        <v>30</v>
      </c>
      <c r="AA9">
        <v>17</v>
      </c>
      <c r="AB9">
        <v>19</v>
      </c>
      <c r="AC9">
        <v>18</v>
      </c>
      <c r="AD9">
        <v>23</v>
      </c>
      <c r="AE9">
        <v>18</v>
      </c>
      <c r="AF9">
        <v>20</v>
      </c>
      <c r="AG9">
        <v>19</v>
      </c>
      <c r="AI9">
        <v>30</v>
      </c>
      <c r="AJ9">
        <v>18</v>
      </c>
      <c r="AK9">
        <v>17</v>
      </c>
      <c r="AL9">
        <v>22</v>
      </c>
      <c r="AM9">
        <v>17</v>
      </c>
      <c r="AN9">
        <v>19</v>
      </c>
      <c r="AO9">
        <v>18</v>
      </c>
      <c r="AP9">
        <v>30</v>
      </c>
      <c r="AQ9">
        <v>17</v>
      </c>
      <c r="AR9">
        <v>19</v>
      </c>
      <c r="AS9">
        <v>18</v>
      </c>
      <c r="AT9">
        <v>23</v>
      </c>
      <c r="AU9">
        <v>18</v>
      </c>
      <c r="AV9">
        <v>20</v>
      </c>
      <c r="AW9">
        <v>19</v>
      </c>
      <c r="AX9">
        <v>46</v>
      </c>
      <c r="AY9">
        <v>17</v>
      </c>
      <c r="AZ9">
        <v>19</v>
      </c>
      <c r="BA9">
        <v>18</v>
      </c>
      <c r="BB9">
        <v>23</v>
      </c>
      <c r="BC9">
        <v>18</v>
      </c>
      <c r="BD9">
        <v>20</v>
      </c>
      <c r="BE9">
        <v>19</v>
      </c>
      <c r="BF9">
        <v>31</v>
      </c>
      <c r="BG9">
        <v>18</v>
      </c>
      <c r="BH9">
        <v>20</v>
      </c>
      <c r="BI9">
        <v>19</v>
      </c>
      <c r="BJ9">
        <v>24</v>
      </c>
      <c r="BK9">
        <v>19</v>
      </c>
      <c r="BL9">
        <v>21</v>
      </c>
      <c r="BM9">
        <v>20</v>
      </c>
    </row>
    <row r="10" spans="1:65" x14ac:dyDescent="0.25">
      <c r="D10">
        <v>19</v>
      </c>
      <c r="E10">
        <v>18</v>
      </c>
      <c r="F10">
        <v>23</v>
      </c>
      <c r="G10">
        <v>18</v>
      </c>
      <c r="H10">
        <v>20</v>
      </c>
      <c r="I10">
        <v>19</v>
      </c>
      <c r="J10">
        <v>31</v>
      </c>
      <c r="K10">
        <v>18</v>
      </c>
      <c r="L10">
        <v>20</v>
      </c>
      <c r="M10">
        <v>19</v>
      </c>
      <c r="N10">
        <v>24</v>
      </c>
      <c r="O10">
        <v>19</v>
      </c>
      <c r="P10">
        <v>21</v>
      </c>
      <c r="Q10">
        <v>20</v>
      </c>
      <c r="R10">
        <v>47</v>
      </c>
      <c r="S10">
        <v>18</v>
      </c>
      <c r="T10">
        <v>20</v>
      </c>
      <c r="U10">
        <v>19</v>
      </c>
      <c r="V10">
        <v>24</v>
      </c>
      <c r="W10">
        <v>19</v>
      </c>
      <c r="X10">
        <v>21</v>
      </c>
      <c r="Y10">
        <v>20</v>
      </c>
      <c r="Z10">
        <v>32</v>
      </c>
      <c r="AA10">
        <v>19</v>
      </c>
      <c r="AB10">
        <v>21</v>
      </c>
      <c r="AC10">
        <v>20</v>
      </c>
      <c r="AD10">
        <v>25</v>
      </c>
      <c r="AE10">
        <v>20</v>
      </c>
      <c r="AF10">
        <v>22</v>
      </c>
      <c r="AG10">
        <v>21</v>
      </c>
      <c r="AI10">
        <v>34</v>
      </c>
      <c r="AJ10">
        <v>20</v>
      </c>
      <c r="AK10">
        <v>19</v>
      </c>
      <c r="AL10">
        <v>24</v>
      </c>
      <c r="AM10">
        <v>19</v>
      </c>
      <c r="AN10">
        <v>21</v>
      </c>
      <c r="AO10">
        <v>20</v>
      </c>
      <c r="AP10">
        <v>32</v>
      </c>
      <c r="AQ10">
        <v>19</v>
      </c>
      <c r="AR10">
        <v>21</v>
      </c>
      <c r="AS10">
        <v>20</v>
      </c>
      <c r="AT10">
        <v>25</v>
      </c>
      <c r="AU10">
        <v>20</v>
      </c>
      <c r="AV10">
        <v>22</v>
      </c>
      <c r="AW10">
        <v>21</v>
      </c>
      <c r="AX10">
        <v>48</v>
      </c>
      <c r="AY10">
        <v>19</v>
      </c>
      <c r="AZ10">
        <v>21</v>
      </c>
      <c r="BA10">
        <v>20</v>
      </c>
      <c r="BB10">
        <v>25</v>
      </c>
      <c r="BC10">
        <v>20</v>
      </c>
      <c r="BD10">
        <v>22</v>
      </c>
      <c r="BE10">
        <v>21</v>
      </c>
      <c r="BF10">
        <v>33</v>
      </c>
      <c r="BG10">
        <v>20</v>
      </c>
      <c r="BH10">
        <v>22</v>
      </c>
      <c r="BI10">
        <v>21</v>
      </c>
      <c r="BJ10">
        <v>26</v>
      </c>
      <c r="BK10">
        <v>21</v>
      </c>
      <c r="BL10">
        <v>23</v>
      </c>
      <c r="BM10">
        <v>22</v>
      </c>
    </row>
    <row r="11" spans="1:65" x14ac:dyDescent="0.25">
      <c r="D11">
        <v>21</v>
      </c>
      <c r="E11">
        <v>20</v>
      </c>
      <c r="F11">
        <v>25</v>
      </c>
      <c r="G11">
        <v>20</v>
      </c>
      <c r="H11">
        <v>22</v>
      </c>
      <c r="I11">
        <v>21</v>
      </c>
      <c r="J11">
        <v>33</v>
      </c>
      <c r="K11">
        <v>20</v>
      </c>
      <c r="L11">
        <v>22</v>
      </c>
      <c r="M11">
        <v>21</v>
      </c>
      <c r="N11">
        <v>26</v>
      </c>
      <c r="O11">
        <v>21</v>
      </c>
      <c r="P11">
        <v>23</v>
      </c>
      <c r="Q11">
        <v>22</v>
      </c>
      <c r="R11">
        <v>49</v>
      </c>
      <c r="S11">
        <v>20</v>
      </c>
      <c r="T11">
        <v>22</v>
      </c>
      <c r="U11">
        <v>21</v>
      </c>
      <c r="V11">
        <v>26</v>
      </c>
      <c r="W11">
        <v>21</v>
      </c>
      <c r="X11">
        <v>23</v>
      </c>
      <c r="Y11">
        <v>22</v>
      </c>
      <c r="Z11">
        <v>34</v>
      </c>
      <c r="AA11">
        <v>21</v>
      </c>
      <c r="AB11">
        <v>23</v>
      </c>
      <c r="AC11">
        <v>22</v>
      </c>
      <c r="AD11">
        <v>27</v>
      </c>
      <c r="AE11">
        <v>22</v>
      </c>
      <c r="AF11">
        <v>24</v>
      </c>
      <c r="AG11">
        <v>23</v>
      </c>
      <c r="AI11">
        <v>38</v>
      </c>
      <c r="AJ11">
        <v>22</v>
      </c>
      <c r="AK11">
        <v>21</v>
      </c>
      <c r="AL11">
        <v>26</v>
      </c>
      <c r="AM11">
        <v>21</v>
      </c>
      <c r="AN11">
        <v>23</v>
      </c>
      <c r="AO11">
        <v>22</v>
      </c>
      <c r="AP11">
        <v>34</v>
      </c>
      <c r="AQ11">
        <v>21</v>
      </c>
      <c r="AR11">
        <v>23</v>
      </c>
      <c r="AS11">
        <v>22</v>
      </c>
      <c r="AT11">
        <v>27</v>
      </c>
      <c r="AU11">
        <v>22</v>
      </c>
      <c r="AV11">
        <v>24</v>
      </c>
      <c r="AW11">
        <v>23</v>
      </c>
      <c r="AX11">
        <v>50</v>
      </c>
      <c r="AY11">
        <v>21</v>
      </c>
      <c r="AZ11">
        <v>23</v>
      </c>
      <c r="BA11">
        <v>22</v>
      </c>
      <c r="BB11">
        <v>27</v>
      </c>
      <c r="BC11">
        <v>22</v>
      </c>
      <c r="BD11">
        <v>24</v>
      </c>
      <c r="BE11">
        <v>23</v>
      </c>
      <c r="BF11">
        <v>35</v>
      </c>
      <c r="BG11">
        <v>22</v>
      </c>
      <c r="BH11">
        <v>24</v>
      </c>
      <c r="BI11">
        <v>23</v>
      </c>
      <c r="BJ11">
        <v>28</v>
      </c>
      <c r="BK11">
        <v>23</v>
      </c>
      <c r="BL11">
        <v>25</v>
      </c>
      <c r="BM11">
        <v>24</v>
      </c>
    </row>
    <row r="12" spans="1:65" x14ac:dyDescent="0.25">
      <c r="D12">
        <v>23</v>
      </c>
      <c r="E12">
        <v>22</v>
      </c>
      <c r="F12">
        <v>27</v>
      </c>
      <c r="G12">
        <v>22</v>
      </c>
      <c r="H12">
        <v>24</v>
      </c>
      <c r="I12">
        <v>23</v>
      </c>
      <c r="J12">
        <v>35</v>
      </c>
      <c r="K12">
        <v>22</v>
      </c>
      <c r="L12">
        <v>24</v>
      </c>
      <c r="M12">
        <v>23</v>
      </c>
      <c r="N12">
        <v>28</v>
      </c>
      <c r="O12">
        <v>23</v>
      </c>
      <c r="P12">
        <v>25</v>
      </c>
      <c r="Q12">
        <v>24</v>
      </c>
      <c r="R12">
        <v>51</v>
      </c>
      <c r="S12">
        <v>22</v>
      </c>
      <c r="T12">
        <v>24</v>
      </c>
      <c r="U12">
        <v>23</v>
      </c>
      <c r="V12">
        <v>28</v>
      </c>
      <c r="W12">
        <v>23</v>
      </c>
      <c r="X12">
        <v>25</v>
      </c>
      <c r="Y12">
        <v>24</v>
      </c>
      <c r="Z12">
        <v>36</v>
      </c>
      <c r="AA12">
        <v>23</v>
      </c>
      <c r="AB12">
        <v>25</v>
      </c>
      <c r="AC12">
        <v>24</v>
      </c>
      <c r="AD12">
        <v>29</v>
      </c>
      <c r="AE12">
        <v>24</v>
      </c>
      <c r="AF12">
        <v>26</v>
      </c>
      <c r="AG12">
        <v>25</v>
      </c>
      <c r="AI12">
        <v>42</v>
      </c>
      <c r="AJ12">
        <v>24</v>
      </c>
      <c r="AK12">
        <v>23</v>
      </c>
      <c r="AL12">
        <v>28</v>
      </c>
      <c r="AM12">
        <v>23</v>
      </c>
      <c r="AN12">
        <v>25</v>
      </c>
      <c r="AO12">
        <v>24</v>
      </c>
      <c r="AP12">
        <v>36</v>
      </c>
      <c r="AQ12">
        <v>23</v>
      </c>
      <c r="AR12">
        <v>25</v>
      </c>
      <c r="AS12">
        <v>24</v>
      </c>
      <c r="AT12">
        <v>29</v>
      </c>
      <c r="AU12">
        <v>24</v>
      </c>
      <c r="AV12">
        <v>26</v>
      </c>
      <c r="AW12">
        <v>25</v>
      </c>
      <c r="AX12">
        <v>52</v>
      </c>
      <c r="AY12">
        <v>23</v>
      </c>
      <c r="AZ12">
        <v>25</v>
      </c>
      <c r="BA12">
        <v>24</v>
      </c>
      <c r="BB12">
        <v>29</v>
      </c>
      <c r="BC12">
        <v>24</v>
      </c>
      <c r="BD12">
        <v>26</v>
      </c>
      <c r="BE12">
        <v>25</v>
      </c>
      <c r="BF12">
        <v>37</v>
      </c>
      <c r="BG12">
        <v>24</v>
      </c>
      <c r="BH12">
        <v>26</v>
      </c>
      <c r="BI12">
        <v>25</v>
      </c>
      <c r="BJ12">
        <v>30</v>
      </c>
      <c r="BK12">
        <v>25</v>
      </c>
      <c r="BL12">
        <v>27</v>
      </c>
      <c r="BM12">
        <v>26</v>
      </c>
    </row>
    <row r="13" spans="1:65" x14ac:dyDescent="0.25">
      <c r="D13">
        <v>25</v>
      </c>
      <c r="E13">
        <v>24</v>
      </c>
      <c r="F13">
        <v>29</v>
      </c>
      <c r="G13">
        <v>24</v>
      </c>
      <c r="H13">
        <v>26</v>
      </c>
      <c r="I13">
        <v>25</v>
      </c>
      <c r="J13">
        <v>37</v>
      </c>
      <c r="K13">
        <v>24</v>
      </c>
      <c r="L13">
        <v>26</v>
      </c>
      <c r="M13">
        <v>25</v>
      </c>
      <c r="N13">
        <v>30</v>
      </c>
      <c r="O13">
        <v>25</v>
      </c>
      <c r="P13">
        <v>27</v>
      </c>
      <c r="Q13">
        <v>26</v>
      </c>
      <c r="R13">
        <v>53</v>
      </c>
      <c r="S13">
        <v>24</v>
      </c>
      <c r="T13">
        <v>26</v>
      </c>
      <c r="U13">
        <v>25</v>
      </c>
      <c r="V13">
        <v>30</v>
      </c>
      <c r="W13">
        <v>25</v>
      </c>
      <c r="X13">
        <v>27</v>
      </c>
      <c r="Y13">
        <v>26</v>
      </c>
      <c r="Z13">
        <v>38</v>
      </c>
      <c r="AA13">
        <v>25</v>
      </c>
      <c r="AB13">
        <v>27</v>
      </c>
      <c r="AC13">
        <v>26</v>
      </c>
      <c r="AD13">
        <v>31</v>
      </c>
      <c r="AE13">
        <v>26</v>
      </c>
      <c r="AF13">
        <v>28</v>
      </c>
      <c r="AG13">
        <v>27</v>
      </c>
      <c r="AI13">
        <v>46</v>
      </c>
      <c r="AJ13">
        <v>26</v>
      </c>
      <c r="AK13">
        <v>25</v>
      </c>
      <c r="AL13">
        <v>30</v>
      </c>
      <c r="AM13">
        <v>25</v>
      </c>
      <c r="AN13">
        <v>27</v>
      </c>
      <c r="AO13">
        <v>26</v>
      </c>
      <c r="AP13">
        <v>38</v>
      </c>
      <c r="AQ13">
        <v>25</v>
      </c>
      <c r="AR13">
        <v>27</v>
      </c>
      <c r="AS13">
        <v>26</v>
      </c>
      <c r="AT13">
        <v>31</v>
      </c>
      <c r="AU13">
        <v>26</v>
      </c>
      <c r="AV13">
        <v>28</v>
      </c>
      <c r="AW13">
        <v>27</v>
      </c>
      <c r="AX13">
        <v>54</v>
      </c>
      <c r="AY13">
        <v>25</v>
      </c>
      <c r="AZ13">
        <v>27</v>
      </c>
      <c r="BA13">
        <v>26</v>
      </c>
      <c r="BB13">
        <v>31</v>
      </c>
      <c r="BC13">
        <v>26</v>
      </c>
      <c r="BD13">
        <v>28</v>
      </c>
      <c r="BE13">
        <v>27</v>
      </c>
      <c r="BF13">
        <v>39</v>
      </c>
      <c r="BG13">
        <v>26</v>
      </c>
      <c r="BH13">
        <v>28</v>
      </c>
      <c r="BI13">
        <v>27</v>
      </c>
      <c r="BJ13">
        <v>32</v>
      </c>
      <c r="BK13">
        <v>27</v>
      </c>
      <c r="BL13">
        <v>29</v>
      </c>
      <c r="BM13">
        <v>28</v>
      </c>
    </row>
    <row r="14" spans="1:65" x14ac:dyDescent="0.25">
      <c r="D14">
        <v>27</v>
      </c>
      <c r="E14">
        <v>26</v>
      </c>
      <c r="F14">
        <v>31</v>
      </c>
      <c r="G14">
        <v>26</v>
      </c>
      <c r="H14">
        <v>28</v>
      </c>
      <c r="I14">
        <v>27</v>
      </c>
      <c r="J14">
        <v>39</v>
      </c>
      <c r="K14">
        <v>26</v>
      </c>
      <c r="L14">
        <v>28</v>
      </c>
      <c r="M14">
        <v>27</v>
      </c>
      <c r="N14">
        <v>32</v>
      </c>
      <c r="O14">
        <v>27</v>
      </c>
      <c r="P14">
        <v>29</v>
      </c>
      <c r="Q14">
        <v>28</v>
      </c>
      <c r="R14">
        <v>55</v>
      </c>
      <c r="S14">
        <v>26</v>
      </c>
      <c r="T14">
        <v>28</v>
      </c>
      <c r="U14">
        <v>27</v>
      </c>
      <c r="V14">
        <v>32</v>
      </c>
      <c r="W14">
        <v>27</v>
      </c>
      <c r="X14">
        <v>29</v>
      </c>
      <c r="Y14">
        <v>28</v>
      </c>
      <c r="Z14">
        <v>40</v>
      </c>
      <c r="AA14">
        <v>27</v>
      </c>
      <c r="AB14">
        <v>29</v>
      </c>
      <c r="AC14">
        <v>28</v>
      </c>
      <c r="AD14">
        <v>33</v>
      </c>
      <c r="AE14">
        <v>28</v>
      </c>
      <c r="AF14">
        <v>30</v>
      </c>
      <c r="AG14">
        <v>29</v>
      </c>
      <c r="AI14">
        <v>50</v>
      </c>
      <c r="AJ14">
        <v>28</v>
      </c>
      <c r="AK14">
        <v>27</v>
      </c>
      <c r="AL14">
        <v>32</v>
      </c>
      <c r="AM14">
        <v>27</v>
      </c>
      <c r="AN14">
        <v>29</v>
      </c>
      <c r="AO14">
        <v>28</v>
      </c>
      <c r="AP14">
        <v>40</v>
      </c>
      <c r="AQ14">
        <v>27</v>
      </c>
      <c r="AR14">
        <v>29</v>
      </c>
      <c r="AS14">
        <v>28</v>
      </c>
      <c r="AT14">
        <v>33</v>
      </c>
      <c r="AU14">
        <v>28</v>
      </c>
      <c r="AV14">
        <v>30</v>
      </c>
      <c r="AW14">
        <v>29</v>
      </c>
      <c r="AX14">
        <v>56</v>
      </c>
      <c r="AY14">
        <v>27</v>
      </c>
      <c r="AZ14">
        <v>29</v>
      </c>
      <c r="BA14">
        <v>28</v>
      </c>
      <c r="BB14">
        <v>33</v>
      </c>
      <c r="BC14">
        <v>28</v>
      </c>
      <c r="BD14">
        <v>30</v>
      </c>
      <c r="BE14">
        <v>29</v>
      </c>
      <c r="BF14">
        <v>41</v>
      </c>
      <c r="BG14">
        <v>28</v>
      </c>
      <c r="BH14">
        <v>30</v>
      </c>
      <c r="BI14">
        <v>29</v>
      </c>
      <c r="BJ14">
        <v>34</v>
      </c>
      <c r="BK14">
        <v>29</v>
      </c>
      <c r="BL14">
        <v>31</v>
      </c>
      <c r="BM14">
        <v>30</v>
      </c>
    </row>
    <row r="15" spans="1:65" x14ac:dyDescent="0.25">
      <c r="D15">
        <v>29</v>
      </c>
      <c r="E15">
        <v>28</v>
      </c>
      <c r="F15">
        <v>33</v>
      </c>
      <c r="G15">
        <v>28</v>
      </c>
      <c r="H15">
        <v>30</v>
      </c>
      <c r="I15">
        <v>29</v>
      </c>
      <c r="J15">
        <v>41</v>
      </c>
      <c r="K15">
        <v>28</v>
      </c>
      <c r="L15">
        <v>30</v>
      </c>
      <c r="M15">
        <v>29</v>
      </c>
      <c r="N15">
        <v>34</v>
      </c>
      <c r="O15">
        <v>29</v>
      </c>
      <c r="P15">
        <v>31</v>
      </c>
      <c r="Q15">
        <v>30</v>
      </c>
      <c r="R15">
        <v>57</v>
      </c>
      <c r="S15">
        <v>28</v>
      </c>
      <c r="T15">
        <v>30</v>
      </c>
      <c r="U15">
        <v>29</v>
      </c>
      <c r="V15">
        <v>34</v>
      </c>
      <c r="W15">
        <v>29</v>
      </c>
      <c r="X15">
        <v>31</v>
      </c>
      <c r="Y15">
        <v>30</v>
      </c>
      <c r="Z15">
        <v>42</v>
      </c>
      <c r="AA15">
        <v>29</v>
      </c>
      <c r="AB15">
        <v>31</v>
      </c>
      <c r="AC15">
        <v>30</v>
      </c>
      <c r="AD15">
        <v>35</v>
      </c>
      <c r="AE15">
        <v>30</v>
      </c>
      <c r="AF15">
        <v>32</v>
      </c>
      <c r="AG15">
        <v>31</v>
      </c>
      <c r="AI15">
        <v>54</v>
      </c>
      <c r="AJ15">
        <v>30</v>
      </c>
      <c r="AK15">
        <v>29</v>
      </c>
      <c r="AL15">
        <v>34</v>
      </c>
      <c r="AM15">
        <v>29</v>
      </c>
      <c r="AN15">
        <v>31</v>
      </c>
      <c r="AO15">
        <v>30</v>
      </c>
      <c r="AP15">
        <v>42</v>
      </c>
      <c r="AQ15">
        <v>29</v>
      </c>
      <c r="AR15">
        <v>31</v>
      </c>
      <c r="AS15">
        <v>30</v>
      </c>
      <c r="AT15">
        <v>35</v>
      </c>
      <c r="AU15">
        <v>30</v>
      </c>
      <c r="AV15">
        <v>32</v>
      </c>
      <c r="AW15">
        <v>31</v>
      </c>
      <c r="AX15">
        <v>58</v>
      </c>
      <c r="AY15">
        <v>29</v>
      </c>
      <c r="AZ15">
        <v>31</v>
      </c>
      <c r="BA15">
        <v>30</v>
      </c>
      <c r="BB15">
        <v>35</v>
      </c>
      <c r="BC15">
        <v>30</v>
      </c>
      <c r="BD15">
        <v>32</v>
      </c>
      <c r="BE15">
        <v>31</v>
      </c>
      <c r="BF15">
        <v>43</v>
      </c>
      <c r="BG15">
        <v>30</v>
      </c>
      <c r="BH15">
        <v>32</v>
      </c>
      <c r="BI15">
        <v>31</v>
      </c>
      <c r="BJ15">
        <v>36</v>
      </c>
      <c r="BK15">
        <v>31</v>
      </c>
      <c r="BL15">
        <v>33</v>
      </c>
      <c r="BM15">
        <v>32</v>
      </c>
    </row>
    <row r="16" spans="1:65" x14ac:dyDescent="0.25">
      <c r="D16">
        <v>31</v>
      </c>
      <c r="E16">
        <v>30</v>
      </c>
      <c r="F16">
        <v>35</v>
      </c>
      <c r="G16">
        <v>30</v>
      </c>
      <c r="H16">
        <v>32</v>
      </c>
      <c r="I16">
        <v>31</v>
      </c>
      <c r="J16">
        <v>43</v>
      </c>
      <c r="K16">
        <v>30</v>
      </c>
      <c r="L16">
        <v>32</v>
      </c>
      <c r="M16">
        <v>31</v>
      </c>
      <c r="N16">
        <v>36</v>
      </c>
      <c r="O16">
        <v>31</v>
      </c>
      <c r="P16">
        <v>33</v>
      </c>
      <c r="Q16">
        <v>32</v>
      </c>
      <c r="R16">
        <v>59</v>
      </c>
      <c r="S16">
        <v>30</v>
      </c>
      <c r="T16">
        <v>32</v>
      </c>
      <c r="U16">
        <v>31</v>
      </c>
      <c r="V16">
        <v>36</v>
      </c>
      <c r="W16">
        <v>31</v>
      </c>
      <c r="X16">
        <v>33</v>
      </c>
      <c r="Y16">
        <v>32</v>
      </c>
      <c r="Z16">
        <v>44</v>
      </c>
      <c r="AA16">
        <v>31</v>
      </c>
      <c r="AB16">
        <v>33</v>
      </c>
      <c r="AC16">
        <v>32</v>
      </c>
      <c r="AD16">
        <v>37</v>
      </c>
      <c r="AE16">
        <v>32</v>
      </c>
      <c r="AF16">
        <v>34</v>
      </c>
      <c r="AG16">
        <v>33</v>
      </c>
      <c r="AI16">
        <v>58</v>
      </c>
      <c r="AJ16">
        <v>32</v>
      </c>
      <c r="AK16">
        <v>31</v>
      </c>
      <c r="AL16">
        <v>36</v>
      </c>
      <c r="AM16">
        <v>31</v>
      </c>
      <c r="AN16">
        <v>33</v>
      </c>
      <c r="AO16">
        <v>32</v>
      </c>
      <c r="AP16">
        <v>44</v>
      </c>
      <c r="AQ16">
        <v>31</v>
      </c>
      <c r="AR16">
        <v>33</v>
      </c>
      <c r="AS16">
        <v>32</v>
      </c>
      <c r="AT16">
        <v>37</v>
      </c>
      <c r="AU16">
        <v>32</v>
      </c>
      <c r="AV16">
        <v>34</v>
      </c>
      <c r="AW16">
        <v>33</v>
      </c>
      <c r="AX16">
        <v>60</v>
      </c>
      <c r="AY16">
        <v>31</v>
      </c>
      <c r="AZ16">
        <v>33</v>
      </c>
      <c r="BA16">
        <v>32</v>
      </c>
      <c r="BB16">
        <v>37</v>
      </c>
      <c r="BC16">
        <v>32</v>
      </c>
      <c r="BD16">
        <v>34</v>
      </c>
      <c r="BE16">
        <v>33</v>
      </c>
      <c r="BF16">
        <v>45</v>
      </c>
      <c r="BG16">
        <v>32</v>
      </c>
      <c r="BH16">
        <v>34</v>
      </c>
      <c r="BI16">
        <v>33</v>
      </c>
      <c r="BJ16">
        <v>38</v>
      </c>
      <c r="BK16">
        <v>33</v>
      </c>
      <c r="BL16">
        <v>35</v>
      </c>
      <c r="BM16">
        <v>34</v>
      </c>
    </row>
    <row r="17" spans="1:65" x14ac:dyDescent="0.25">
      <c r="D17">
        <v>33</v>
      </c>
      <c r="E17">
        <v>32</v>
      </c>
      <c r="F17">
        <v>37</v>
      </c>
      <c r="G17">
        <v>32</v>
      </c>
      <c r="H17">
        <v>34</v>
      </c>
      <c r="I17">
        <v>33</v>
      </c>
      <c r="J17">
        <v>45</v>
      </c>
      <c r="K17">
        <v>32</v>
      </c>
      <c r="L17">
        <v>34</v>
      </c>
      <c r="M17">
        <v>33</v>
      </c>
      <c r="N17">
        <v>38</v>
      </c>
      <c r="O17">
        <v>33</v>
      </c>
      <c r="P17">
        <v>35</v>
      </c>
      <c r="Q17">
        <v>34</v>
      </c>
      <c r="R17">
        <v>61</v>
      </c>
      <c r="S17">
        <v>32</v>
      </c>
      <c r="T17">
        <v>34</v>
      </c>
      <c r="U17">
        <v>33</v>
      </c>
      <c r="V17">
        <v>38</v>
      </c>
      <c r="W17">
        <v>33</v>
      </c>
      <c r="X17">
        <v>35</v>
      </c>
      <c r="Y17">
        <v>34</v>
      </c>
      <c r="Z17">
        <v>46</v>
      </c>
      <c r="AA17">
        <v>33</v>
      </c>
      <c r="AB17">
        <v>35</v>
      </c>
      <c r="AC17">
        <v>34</v>
      </c>
      <c r="AD17">
        <v>39</v>
      </c>
      <c r="AE17">
        <v>34</v>
      </c>
      <c r="AF17">
        <v>36</v>
      </c>
      <c r="AG17">
        <v>35</v>
      </c>
      <c r="AI17">
        <v>62</v>
      </c>
      <c r="AJ17">
        <v>34</v>
      </c>
      <c r="AK17">
        <v>33</v>
      </c>
      <c r="AL17">
        <v>38</v>
      </c>
      <c r="AM17">
        <v>33</v>
      </c>
      <c r="AN17">
        <v>35</v>
      </c>
      <c r="AO17">
        <v>34</v>
      </c>
      <c r="AP17">
        <v>46</v>
      </c>
      <c r="AQ17">
        <v>33</v>
      </c>
      <c r="AR17">
        <v>35</v>
      </c>
      <c r="AS17">
        <v>34</v>
      </c>
      <c r="AT17">
        <v>39</v>
      </c>
      <c r="AU17">
        <v>34</v>
      </c>
      <c r="AV17">
        <v>36</v>
      </c>
      <c r="AW17">
        <v>35</v>
      </c>
      <c r="AX17">
        <v>62</v>
      </c>
      <c r="AY17">
        <v>33</v>
      </c>
      <c r="AZ17">
        <v>35</v>
      </c>
      <c r="BA17">
        <v>34</v>
      </c>
      <c r="BB17">
        <v>39</v>
      </c>
      <c r="BC17">
        <v>34</v>
      </c>
      <c r="BD17">
        <v>36</v>
      </c>
      <c r="BE17">
        <v>35</v>
      </c>
      <c r="BF17">
        <v>47</v>
      </c>
      <c r="BG17">
        <v>34</v>
      </c>
      <c r="BH17">
        <v>36</v>
      </c>
      <c r="BI17">
        <v>35</v>
      </c>
      <c r="BJ17">
        <v>40</v>
      </c>
      <c r="BK17">
        <v>35</v>
      </c>
      <c r="BL17">
        <v>37</v>
      </c>
      <c r="BM17">
        <v>36</v>
      </c>
    </row>
    <row r="18" spans="1:65" x14ac:dyDescent="0.25">
      <c r="F18">
        <v>39</v>
      </c>
      <c r="G18">
        <v>34</v>
      </c>
      <c r="H18">
        <v>36</v>
      </c>
      <c r="I18">
        <v>35</v>
      </c>
      <c r="J18">
        <v>47</v>
      </c>
      <c r="K18">
        <v>34</v>
      </c>
      <c r="L18">
        <v>36</v>
      </c>
      <c r="M18">
        <v>35</v>
      </c>
      <c r="N18">
        <v>40</v>
      </c>
      <c r="O18">
        <v>35</v>
      </c>
      <c r="P18">
        <v>37</v>
      </c>
      <c r="Q18">
        <v>36</v>
      </c>
      <c r="S18">
        <v>34</v>
      </c>
      <c r="T18">
        <v>36</v>
      </c>
      <c r="U18">
        <v>35</v>
      </c>
      <c r="V18">
        <v>40</v>
      </c>
      <c r="W18">
        <v>35</v>
      </c>
      <c r="X18">
        <v>37</v>
      </c>
      <c r="Y18">
        <v>36</v>
      </c>
      <c r="Z18">
        <v>48</v>
      </c>
      <c r="AA18">
        <v>35</v>
      </c>
      <c r="AB18">
        <v>37</v>
      </c>
      <c r="AC18">
        <v>36</v>
      </c>
      <c r="AD18">
        <v>41</v>
      </c>
      <c r="AE18">
        <v>36</v>
      </c>
      <c r="AF18">
        <v>38</v>
      </c>
      <c r="AG18">
        <v>37</v>
      </c>
      <c r="AJ18">
        <v>36</v>
      </c>
      <c r="AK18">
        <v>35</v>
      </c>
      <c r="AL18">
        <v>40</v>
      </c>
      <c r="AM18">
        <v>35</v>
      </c>
      <c r="AN18">
        <v>37</v>
      </c>
      <c r="AO18">
        <v>36</v>
      </c>
      <c r="AP18">
        <v>48</v>
      </c>
      <c r="AQ18">
        <v>35</v>
      </c>
      <c r="AR18">
        <v>37</v>
      </c>
      <c r="AS18">
        <v>36</v>
      </c>
      <c r="AT18">
        <v>41</v>
      </c>
      <c r="AU18">
        <v>36</v>
      </c>
      <c r="AV18">
        <v>38</v>
      </c>
      <c r="AW18">
        <v>37</v>
      </c>
      <c r="AY18">
        <v>35</v>
      </c>
      <c r="AZ18">
        <v>37</v>
      </c>
      <c r="BA18">
        <v>36</v>
      </c>
      <c r="BB18">
        <v>41</v>
      </c>
      <c r="BC18">
        <v>36</v>
      </c>
      <c r="BD18">
        <v>38</v>
      </c>
      <c r="BE18">
        <v>37</v>
      </c>
      <c r="BF18">
        <v>49</v>
      </c>
      <c r="BG18">
        <v>36</v>
      </c>
      <c r="BH18">
        <v>38</v>
      </c>
      <c r="BI18">
        <v>37</v>
      </c>
      <c r="BJ18">
        <v>42</v>
      </c>
      <c r="BK18">
        <v>37</v>
      </c>
      <c r="BL18">
        <v>39</v>
      </c>
      <c r="BM18">
        <v>38</v>
      </c>
    </row>
    <row r="19" spans="1:65" x14ac:dyDescent="0.25">
      <c r="F19">
        <v>41</v>
      </c>
      <c r="G19">
        <v>36</v>
      </c>
      <c r="H19">
        <v>38</v>
      </c>
      <c r="I19">
        <v>37</v>
      </c>
      <c r="J19">
        <v>49</v>
      </c>
      <c r="K19">
        <v>36</v>
      </c>
      <c r="L19">
        <v>38</v>
      </c>
      <c r="M19">
        <v>37</v>
      </c>
      <c r="N19">
        <v>42</v>
      </c>
      <c r="O19">
        <v>37</v>
      </c>
      <c r="P19">
        <v>39</v>
      </c>
      <c r="Q19">
        <v>38</v>
      </c>
      <c r="S19">
        <v>36</v>
      </c>
      <c r="T19">
        <v>38</v>
      </c>
      <c r="U19">
        <v>37</v>
      </c>
      <c r="V19">
        <v>42</v>
      </c>
      <c r="W19">
        <v>37</v>
      </c>
      <c r="X19">
        <v>39</v>
      </c>
      <c r="Y19">
        <v>38</v>
      </c>
      <c r="Z19">
        <v>50</v>
      </c>
      <c r="AA19">
        <v>37</v>
      </c>
      <c r="AB19">
        <v>39</v>
      </c>
      <c r="AC19">
        <v>38</v>
      </c>
      <c r="AD19">
        <v>43</v>
      </c>
      <c r="AE19">
        <v>38</v>
      </c>
      <c r="AF19">
        <v>40</v>
      </c>
      <c r="AG19">
        <v>39</v>
      </c>
      <c r="AJ19">
        <v>38</v>
      </c>
      <c r="AK19">
        <v>37</v>
      </c>
      <c r="AL19">
        <v>42</v>
      </c>
      <c r="AM19">
        <v>37</v>
      </c>
      <c r="AN19">
        <v>39</v>
      </c>
      <c r="AO19">
        <v>38</v>
      </c>
      <c r="AP19">
        <v>50</v>
      </c>
      <c r="AQ19">
        <v>37</v>
      </c>
      <c r="AR19">
        <v>39</v>
      </c>
      <c r="AS19">
        <v>38</v>
      </c>
      <c r="AT19">
        <v>43</v>
      </c>
      <c r="AU19">
        <v>38</v>
      </c>
      <c r="AV19">
        <v>40</v>
      </c>
      <c r="AW19">
        <v>39</v>
      </c>
      <c r="AY19">
        <v>37</v>
      </c>
      <c r="AZ19">
        <v>39</v>
      </c>
      <c r="BA19">
        <v>38</v>
      </c>
      <c r="BB19">
        <v>43</v>
      </c>
      <c r="BC19">
        <v>38</v>
      </c>
      <c r="BD19">
        <v>40</v>
      </c>
      <c r="BE19">
        <v>39</v>
      </c>
      <c r="BF19">
        <v>51</v>
      </c>
      <c r="BG19">
        <v>38</v>
      </c>
      <c r="BH19">
        <v>40</v>
      </c>
      <c r="BI19">
        <v>39</v>
      </c>
      <c r="BJ19">
        <v>44</v>
      </c>
      <c r="BK19">
        <v>39</v>
      </c>
      <c r="BL19">
        <v>41</v>
      </c>
      <c r="BM19">
        <v>40</v>
      </c>
    </row>
    <row r="20" spans="1:65" x14ac:dyDescent="0.25">
      <c r="F20">
        <v>43</v>
      </c>
      <c r="G20">
        <v>38</v>
      </c>
      <c r="H20">
        <v>40</v>
      </c>
      <c r="I20">
        <v>39</v>
      </c>
      <c r="J20">
        <v>51</v>
      </c>
      <c r="K20">
        <v>38</v>
      </c>
      <c r="L20">
        <v>40</v>
      </c>
      <c r="M20">
        <v>39</v>
      </c>
      <c r="N20">
        <v>44</v>
      </c>
      <c r="O20">
        <v>39</v>
      </c>
      <c r="P20">
        <v>41</v>
      </c>
      <c r="Q20">
        <v>40</v>
      </c>
      <c r="S20">
        <v>38</v>
      </c>
      <c r="T20">
        <v>40</v>
      </c>
      <c r="U20">
        <v>39</v>
      </c>
      <c r="V20">
        <v>44</v>
      </c>
      <c r="W20">
        <v>39</v>
      </c>
      <c r="X20">
        <v>41</v>
      </c>
      <c r="Y20">
        <v>40</v>
      </c>
      <c r="Z20">
        <v>52</v>
      </c>
      <c r="AA20">
        <v>39</v>
      </c>
      <c r="AB20">
        <v>41</v>
      </c>
      <c r="AC20">
        <v>40</v>
      </c>
      <c r="AD20">
        <v>45</v>
      </c>
      <c r="AE20">
        <v>40</v>
      </c>
      <c r="AF20">
        <v>42</v>
      </c>
      <c r="AG20">
        <v>41</v>
      </c>
      <c r="AJ20">
        <v>40</v>
      </c>
      <c r="AK20">
        <v>39</v>
      </c>
      <c r="AL20">
        <v>44</v>
      </c>
      <c r="AM20">
        <v>39</v>
      </c>
      <c r="AN20">
        <v>41</v>
      </c>
      <c r="AO20">
        <v>40</v>
      </c>
      <c r="AP20">
        <v>52</v>
      </c>
      <c r="AQ20">
        <v>39</v>
      </c>
      <c r="AR20">
        <v>41</v>
      </c>
      <c r="AS20">
        <v>40</v>
      </c>
      <c r="AT20">
        <v>45</v>
      </c>
      <c r="AU20">
        <v>40</v>
      </c>
      <c r="AV20">
        <v>42</v>
      </c>
      <c r="AW20">
        <v>41</v>
      </c>
      <c r="AY20">
        <v>39</v>
      </c>
      <c r="AZ20">
        <v>41</v>
      </c>
      <c r="BA20">
        <v>40</v>
      </c>
      <c r="BB20">
        <v>45</v>
      </c>
      <c r="BC20">
        <v>40</v>
      </c>
      <c r="BD20">
        <v>42</v>
      </c>
      <c r="BE20">
        <v>41</v>
      </c>
      <c r="BF20">
        <v>53</v>
      </c>
      <c r="BG20">
        <v>40</v>
      </c>
      <c r="BH20">
        <v>42</v>
      </c>
      <c r="BI20">
        <v>41</v>
      </c>
      <c r="BJ20">
        <v>46</v>
      </c>
      <c r="BK20">
        <v>41</v>
      </c>
      <c r="BL20">
        <v>43</v>
      </c>
      <c r="BM20">
        <v>42</v>
      </c>
    </row>
    <row r="21" spans="1:65" x14ac:dyDescent="0.25">
      <c r="F21">
        <v>45</v>
      </c>
      <c r="G21">
        <v>40</v>
      </c>
      <c r="H21">
        <v>42</v>
      </c>
      <c r="I21">
        <v>41</v>
      </c>
      <c r="J21">
        <v>53</v>
      </c>
      <c r="K21">
        <v>40</v>
      </c>
      <c r="L21">
        <v>42</v>
      </c>
      <c r="M21">
        <v>41</v>
      </c>
      <c r="N21">
        <v>46</v>
      </c>
      <c r="O21">
        <v>41</v>
      </c>
      <c r="P21">
        <v>43</v>
      </c>
      <c r="Q21">
        <v>42</v>
      </c>
      <c r="S21">
        <v>40</v>
      </c>
      <c r="T21">
        <v>42</v>
      </c>
      <c r="U21">
        <v>41</v>
      </c>
      <c r="V21">
        <v>46</v>
      </c>
      <c r="W21">
        <v>41</v>
      </c>
      <c r="X21">
        <v>43</v>
      </c>
      <c r="Y21">
        <v>42</v>
      </c>
      <c r="Z21">
        <v>54</v>
      </c>
      <c r="AA21">
        <v>41</v>
      </c>
      <c r="AB21">
        <v>43</v>
      </c>
      <c r="AC21">
        <v>42</v>
      </c>
      <c r="AD21">
        <v>47</v>
      </c>
      <c r="AE21">
        <v>42</v>
      </c>
      <c r="AF21">
        <v>44</v>
      </c>
      <c r="AG21">
        <v>43</v>
      </c>
      <c r="AJ21">
        <v>42</v>
      </c>
      <c r="AK21">
        <v>41</v>
      </c>
      <c r="AL21">
        <v>46</v>
      </c>
      <c r="AM21">
        <v>41</v>
      </c>
      <c r="AN21">
        <v>43</v>
      </c>
      <c r="AO21">
        <v>42</v>
      </c>
      <c r="AP21">
        <v>54</v>
      </c>
      <c r="AQ21">
        <v>41</v>
      </c>
      <c r="AR21">
        <v>43</v>
      </c>
      <c r="AS21">
        <v>42</v>
      </c>
      <c r="AT21">
        <v>47</v>
      </c>
      <c r="AU21">
        <v>42</v>
      </c>
      <c r="AV21">
        <v>44</v>
      </c>
      <c r="AW21">
        <v>43</v>
      </c>
      <c r="AY21">
        <v>41</v>
      </c>
      <c r="AZ21">
        <v>43</v>
      </c>
      <c r="BA21">
        <v>42</v>
      </c>
      <c r="BB21">
        <v>47</v>
      </c>
      <c r="BC21">
        <v>42</v>
      </c>
      <c r="BD21">
        <v>44</v>
      </c>
      <c r="BE21">
        <v>43</v>
      </c>
      <c r="BF21">
        <v>55</v>
      </c>
      <c r="BG21">
        <v>42</v>
      </c>
      <c r="BH21">
        <v>44</v>
      </c>
      <c r="BI21">
        <v>43</v>
      </c>
      <c r="BJ21">
        <v>48</v>
      </c>
      <c r="BK21">
        <v>43</v>
      </c>
      <c r="BL21">
        <v>45</v>
      </c>
      <c r="BM21">
        <v>44</v>
      </c>
    </row>
    <row r="22" spans="1:65" x14ac:dyDescent="0.25">
      <c r="F22">
        <v>47</v>
      </c>
      <c r="G22">
        <v>42</v>
      </c>
      <c r="H22">
        <v>44</v>
      </c>
      <c r="I22">
        <v>43</v>
      </c>
      <c r="J22">
        <v>55</v>
      </c>
      <c r="K22">
        <v>42</v>
      </c>
      <c r="L22">
        <v>44</v>
      </c>
      <c r="M22">
        <v>43</v>
      </c>
      <c r="N22">
        <v>48</v>
      </c>
      <c r="O22">
        <v>43</v>
      </c>
      <c r="P22">
        <v>45</v>
      </c>
      <c r="Q22">
        <v>44</v>
      </c>
      <c r="S22">
        <v>42</v>
      </c>
      <c r="T22">
        <v>44</v>
      </c>
      <c r="U22">
        <v>43</v>
      </c>
      <c r="V22">
        <v>48</v>
      </c>
      <c r="W22">
        <v>43</v>
      </c>
      <c r="X22">
        <v>45</v>
      </c>
      <c r="Y22">
        <v>44</v>
      </c>
      <c r="Z22">
        <v>56</v>
      </c>
      <c r="AA22">
        <v>43</v>
      </c>
      <c r="AB22">
        <v>45</v>
      </c>
      <c r="AC22">
        <v>44</v>
      </c>
      <c r="AD22">
        <v>49</v>
      </c>
      <c r="AE22">
        <v>44</v>
      </c>
      <c r="AF22">
        <v>46</v>
      </c>
      <c r="AG22">
        <v>45</v>
      </c>
      <c r="AJ22">
        <v>44</v>
      </c>
      <c r="AK22">
        <v>43</v>
      </c>
      <c r="AL22">
        <v>48</v>
      </c>
      <c r="AM22">
        <v>43</v>
      </c>
      <c r="AN22">
        <v>45</v>
      </c>
      <c r="AO22">
        <v>44</v>
      </c>
      <c r="AP22">
        <v>56</v>
      </c>
      <c r="AQ22">
        <v>43</v>
      </c>
      <c r="AR22">
        <v>45</v>
      </c>
      <c r="AS22">
        <v>44</v>
      </c>
      <c r="AT22">
        <v>49</v>
      </c>
      <c r="AU22">
        <v>44</v>
      </c>
      <c r="AV22">
        <v>46</v>
      </c>
      <c r="AW22">
        <v>45</v>
      </c>
      <c r="AY22">
        <v>43</v>
      </c>
      <c r="AZ22">
        <v>45</v>
      </c>
      <c r="BA22">
        <v>44</v>
      </c>
      <c r="BB22">
        <v>49</v>
      </c>
      <c r="BC22">
        <v>44</v>
      </c>
      <c r="BD22">
        <v>46</v>
      </c>
      <c r="BE22">
        <v>45</v>
      </c>
      <c r="BF22">
        <v>57</v>
      </c>
      <c r="BG22">
        <v>44</v>
      </c>
      <c r="BH22">
        <v>46</v>
      </c>
      <c r="BI22">
        <v>45</v>
      </c>
      <c r="BJ22">
        <v>50</v>
      </c>
      <c r="BK22">
        <v>45</v>
      </c>
      <c r="BL22">
        <v>47</v>
      </c>
      <c r="BM22">
        <v>46</v>
      </c>
    </row>
    <row r="23" spans="1:65" x14ac:dyDescent="0.25">
      <c r="F23">
        <v>49</v>
      </c>
      <c r="G23">
        <v>44</v>
      </c>
      <c r="H23">
        <v>46</v>
      </c>
      <c r="I23">
        <v>45</v>
      </c>
      <c r="J23">
        <v>57</v>
      </c>
      <c r="K23">
        <v>44</v>
      </c>
      <c r="L23">
        <v>46</v>
      </c>
      <c r="M23">
        <v>45</v>
      </c>
      <c r="N23">
        <v>50</v>
      </c>
      <c r="O23">
        <v>45</v>
      </c>
      <c r="P23">
        <v>47</v>
      </c>
      <c r="Q23">
        <v>46</v>
      </c>
      <c r="S23">
        <v>44</v>
      </c>
      <c r="T23">
        <v>46</v>
      </c>
      <c r="U23">
        <v>45</v>
      </c>
      <c r="V23">
        <v>50</v>
      </c>
      <c r="W23">
        <v>45</v>
      </c>
      <c r="X23">
        <v>47</v>
      </c>
      <c r="Y23">
        <v>46</v>
      </c>
      <c r="Z23">
        <v>58</v>
      </c>
      <c r="AA23">
        <v>45</v>
      </c>
      <c r="AB23">
        <v>47</v>
      </c>
      <c r="AC23">
        <v>46</v>
      </c>
      <c r="AD23">
        <v>51</v>
      </c>
      <c r="AE23">
        <v>46</v>
      </c>
      <c r="AF23">
        <v>48</v>
      </c>
      <c r="AG23">
        <v>47</v>
      </c>
      <c r="AJ23">
        <v>46</v>
      </c>
      <c r="AK23">
        <v>45</v>
      </c>
      <c r="AL23">
        <v>50</v>
      </c>
      <c r="AM23">
        <v>45</v>
      </c>
      <c r="AN23">
        <v>47</v>
      </c>
      <c r="AO23">
        <v>46</v>
      </c>
      <c r="AP23">
        <v>58</v>
      </c>
      <c r="AQ23">
        <v>45</v>
      </c>
      <c r="AR23">
        <v>47</v>
      </c>
      <c r="AS23">
        <v>46</v>
      </c>
      <c r="AT23">
        <v>51</v>
      </c>
      <c r="AU23">
        <v>46</v>
      </c>
      <c r="AV23">
        <v>48</v>
      </c>
      <c r="AW23">
        <v>47</v>
      </c>
      <c r="AY23">
        <v>45</v>
      </c>
      <c r="AZ23">
        <v>47</v>
      </c>
      <c r="BA23">
        <v>46</v>
      </c>
      <c r="BB23">
        <v>51</v>
      </c>
      <c r="BC23">
        <v>46</v>
      </c>
      <c r="BD23">
        <v>48</v>
      </c>
      <c r="BE23">
        <v>47</v>
      </c>
      <c r="BF23">
        <v>59</v>
      </c>
      <c r="BG23">
        <v>46</v>
      </c>
      <c r="BH23">
        <v>48</v>
      </c>
      <c r="BI23">
        <v>47</v>
      </c>
      <c r="BJ23">
        <v>52</v>
      </c>
      <c r="BK23">
        <v>47</v>
      </c>
      <c r="BL23">
        <v>49</v>
      </c>
      <c r="BM23">
        <v>48</v>
      </c>
    </row>
    <row r="24" spans="1:65" x14ac:dyDescent="0.25">
      <c r="G24">
        <v>46</v>
      </c>
      <c r="H24">
        <v>48</v>
      </c>
      <c r="I24">
        <v>47</v>
      </c>
      <c r="K24">
        <v>46</v>
      </c>
      <c r="L24">
        <v>48</v>
      </c>
      <c r="M24">
        <v>47</v>
      </c>
      <c r="N24">
        <v>52</v>
      </c>
      <c r="O24">
        <v>47</v>
      </c>
      <c r="P24">
        <v>49</v>
      </c>
      <c r="Q24">
        <v>48</v>
      </c>
      <c r="S24">
        <v>46</v>
      </c>
      <c r="T24">
        <v>48</v>
      </c>
      <c r="U24">
        <v>47</v>
      </c>
      <c r="V24">
        <v>52</v>
      </c>
      <c r="W24">
        <v>47</v>
      </c>
      <c r="X24">
        <v>49</v>
      </c>
      <c r="Y24">
        <v>48</v>
      </c>
      <c r="Z24">
        <v>60</v>
      </c>
      <c r="AA24">
        <v>47</v>
      </c>
      <c r="AB24">
        <v>49</v>
      </c>
      <c r="AC24">
        <v>48</v>
      </c>
      <c r="AD24">
        <v>53</v>
      </c>
      <c r="AE24">
        <v>48</v>
      </c>
      <c r="AF24">
        <v>50</v>
      </c>
      <c r="AG24">
        <v>49</v>
      </c>
      <c r="AJ24">
        <v>48</v>
      </c>
      <c r="AK24">
        <v>47</v>
      </c>
      <c r="AL24">
        <v>52</v>
      </c>
      <c r="AM24">
        <v>47</v>
      </c>
      <c r="AN24">
        <v>49</v>
      </c>
      <c r="AO24">
        <v>48</v>
      </c>
      <c r="AP24">
        <v>60</v>
      </c>
      <c r="AQ24">
        <v>47</v>
      </c>
      <c r="AR24">
        <v>49</v>
      </c>
      <c r="AS24">
        <v>48</v>
      </c>
      <c r="AT24">
        <v>53</v>
      </c>
      <c r="AU24">
        <v>48</v>
      </c>
      <c r="AV24">
        <v>50</v>
      </c>
      <c r="AW24">
        <v>49</v>
      </c>
      <c r="AY24">
        <v>47</v>
      </c>
      <c r="AZ24">
        <v>49</v>
      </c>
      <c r="BA24">
        <v>48</v>
      </c>
      <c r="BB24">
        <v>53</v>
      </c>
      <c r="BC24">
        <v>48</v>
      </c>
      <c r="BD24">
        <v>50</v>
      </c>
      <c r="BE24">
        <v>49</v>
      </c>
      <c r="BF24">
        <v>61</v>
      </c>
      <c r="BG24">
        <v>48</v>
      </c>
      <c r="BH24">
        <v>50</v>
      </c>
      <c r="BI24">
        <v>49</v>
      </c>
      <c r="BJ24">
        <v>54</v>
      </c>
      <c r="BK24">
        <v>49</v>
      </c>
      <c r="BL24">
        <v>51</v>
      </c>
      <c r="BM24">
        <v>50</v>
      </c>
    </row>
    <row r="25" spans="1:65" x14ac:dyDescent="0.25">
      <c r="G25">
        <v>48</v>
      </c>
      <c r="K25">
        <v>48</v>
      </c>
      <c r="L25">
        <v>50</v>
      </c>
      <c r="M25">
        <v>49</v>
      </c>
      <c r="N25">
        <v>54</v>
      </c>
      <c r="O25">
        <v>49</v>
      </c>
      <c r="P25">
        <v>51</v>
      </c>
      <c r="Q25">
        <v>50</v>
      </c>
      <c r="S25">
        <v>48</v>
      </c>
      <c r="T25">
        <v>50</v>
      </c>
      <c r="U25">
        <v>49</v>
      </c>
      <c r="V25">
        <v>54</v>
      </c>
      <c r="W25">
        <v>49</v>
      </c>
      <c r="X25">
        <v>51</v>
      </c>
      <c r="Y25">
        <v>50</v>
      </c>
      <c r="AA25">
        <v>49</v>
      </c>
      <c r="AB25">
        <v>51</v>
      </c>
      <c r="AC25">
        <v>50</v>
      </c>
      <c r="AD25">
        <v>55</v>
      </c>
      <c r="AE25">
        <v>50</v>
      </c>
      <c r="AF25">
        <v>52</v>
      </c>
      <c r="AG25">
        <v>51</v>
      </c>
      <c r="AJ25">
        <v>50</v>
      </c>
      <c r="AK25">
        <v>49</v>
      </c>
      <c r="AL25">
        <v>54</v>
      </c>
      <c r="AM25">
        <v>49</v>
      </c>
      <c r="AN25">
        <v>51</v>
      </c>
      <c r="AO25">
        <v>50</v>
      </c>
      <c r="AP25">
        <v>62</v>
      </c>
      <c r="AQ25">
        <v>49</v>
      </c>
      <c r="AR25">
        <v>51</v>
      </c>
      <c r="AS25">
        <v>50</v>
      </c>
      <c r="AT25">
        <v>55</v>
      </c>
      <c r="AU25">
        <v>50</v>
      </c>
      <c r="AV25">
        <v>52</v>
      </c>
      <c r="AW25">
        <v>51</v>
      </c>
      <c r="AY25">
        <v>49</v>
      </c>
      <c r="AZ25">
        <v>51</v>
      </c>
      <c r="BA25">
        <v>50</v>
      </c>
      <c r="BB25">
        <v>55</v>
      </c>
      <c r="BC25">
        <v>50</v>
      </c>
      <c r="BD25">
        <v>52</v>
      </c>
      <c r="BE25">
        <v>51</v>
      </c>
      <c r="BG25">
        <v>50</v>
      </c>
      <c r="BH25">
        <v>52</v>
      </c>
      <c r="BI25">
        <v>51</v>
      </c>
      <c r="BJ25">
        <v>56</v>
      </c>
      <c r="BK25">
        <v>51</v>
      </c>
      <c r="BL25">
        <v>53</v>
      </c>
      <c r="BM25">
        <v>52</v>
      </c>
    </row>
    <row r="26" spans="1:65" x14ac:dyDescent="0.25">
      <c r="K26">
        <v>50</v>
      </c>
      <c r="L26">
        <v>52</v>
      </c>
      <c r="M26">
        <v>51</v>
      </c>
      <c r="N26">
        <v>56</v>
      </c>
      <c r="O26">
        <v>51</v>
      </c>
      <c r="P26">
        <v>53</v>
      </c>
      <c r="Q26">
        <v>52</v>
      </c>
      <c r="S26">
        <v>50</v>
      </c>
      <c r="T26">
        <v>52</v>
      </c>
      <c r="U26">
        <v>51</v>
      </c>
      <c r="V26">
        <v>56</v>
      </c>
      <c r="W26">
        <v>51</v>
      </c>
      <c r="X26">
        <v>53</v>
      </c>
      <c r="Y26">
        <v>52</v>
      </c>
      <c r="AA26">
        <v>51</v>
      </c>
      <c r="AB26">
        <v>53</v>
      </c>
      <c r="AC26">
        <v>52</v>
      </c>
      <c r="AD26">
        <v>57</v>
      </c>
      <c r="AE26">
        <v>52</v>
      </c>
      <c r="AF26">
        <v>54</v>
      </c>
      <c r="AG26">
        <v>53</v>
      </c>
      <c r="AJ26">
        <v>52</v>
      </c>
      <c r="AK26">
        <v>51</v>
      </c>
      <c r="AL26">
        <v>56</v>
      </c>
      <c r="AM26">
        <v>51</v>
      </c>
      <c r="AN26">
        <v>53</v>
      </c>
      <c r="AO26">
        <v>52</v>
      </c>
      <c r="AQ26">
        <v>51</v>
      </c>
      <c r="AR26">
        <v>53</v>
      </c>
      <c r="AS26">
        <v>52</v>
      </c>
      <c r="AT26">
        <v>57</v>
      </c>
      <c r="AU26">
        <v>52</v>
      </c>
      <c r="AV26">
        <v>54</v>
      </c>
      <c r="AW26">
        <v>53</v>
      </c>
      <c r="AY26">
        <v>51</v>
      </c>
      <c r="AZ26">
        <v>53</v>
      </c>
      <c r="BA26">
        <v>52</v>
      </c>
      <c r="BB26">
        <v>57</v>
      </c>
      <c r="BC26">
        <v>52</v>
      </c>
      <c r="BD26">
        <v>54</v>
      </c>
      <c r="BE26">
        <v>53</v>
      </c>
      <c r="BG26">
        <v>52</v>
      </c>
      <c r="BH26">
        <v>54</v>
      </c>
      <c r="BI26">
        <v>53</v>
      </c>
      <c r="BJ26">
        <v>58</v>
      </c>
      <c r="BK26">
        <v>53</v>
      </c>
      <c r="BL26">
        <v>55</v>
      </c>
      <c r="BM26">
        <v>54</v>
      </c>
    </row>
    <row r="27" spans="1:65" x14ac:dyDescent="0.25">
      <c r="K27">
        <v>52</v>
      </c>
      <c r="L27">
        <v>54</v>
      </c>
      <c r="M27">
        <v>53</v>
      </c>
      <c r="O27">
        <v>53</v>
      </c>
      <c r="P27">
        <v>55</v>
      </c>
      <c r="Q27">
        <v>54</v>
      </c>
      <c r="S27">
        <v>52</v>
      </c>
      <c r="T27">
        <v>54</v>
      </c>
      <c r="U27">
        <v>53</v>
      </c>
      <c r="V27">
        <v>58</v>
      </c>
      <c r="W27">
        <v>53</v>
      </c>
      <c r="X27">
        <v>55</v>
      </c>
      <c r="Y27">
        <v>54</v>
      </c>
      <c r="AA27">
        <v>53</v>
      </c>
      <c r="AB27">
        <v>55</v>
      </c>
      <c r="AC27">
        <v>54</v>
      </c>
      <c r="AD27">
        <v>59</v>
      </c>
      <c r="AE27">
        <v>54</v>
      </c>
      <c r="AF27">
        <v>56</v>
      </c>
      <c r="AG27">
        <v>55</v>
      </c>
      <c r="AJ27">
        <v>54</v>
      </c>
      <c r="AK27">
        <v>53</v>
      </c>
      <c r="AL27">
        <v>58</v>
      </c>
      <c r="AM27">
        <v>53</v>
      </c>
      <c r="AN27">
        <v>55</v>
      </c>
      <c r="AO27">
        <v>54</v>
      </c>
      <c r="AQ27">
        <v>53</v>
      </c>
      <c r="AR27">
        <v>55</v>
      </c>
      <c r="AS27">
        <v>54</v>
      </c>
      <c r="AT27">
        <v>59</v>
      </c>
      <c r="AU27">
        <v>54</v>
      </c>
      <c r="AV27">
        <v>56</v>
      </c>
      <c r="AW27">
        <v>55</v>
      </c>
      <c r="AY27">
        <v>53</v>
      </c>
      <c r="AZ27">
        <v>55</v>
      </c>
      <c r="BA27">
        <v>54</v>
      </c>
      <c r="BB27">
        <v>59</v>
      </c>
      <c r="BC27">
        <v>54</v>
      </c>
      <c r="BD27">
        <v>56</v>
      </c>
      <c r="BE27">
        <v>55</v>
      </c>
      <c r="BG27">
        <v>54</v>
      </c>
      <c r="BH27">
        <v>56</v>
      </c>
      <c r="BI27">
        <v>55</v>
      </c>
      <c r="BJ27">
        <v>60</v>
      </c>
      <c r="BK27">
        <v>55</v>
      </c>
      <c r="BL27">
        <v>57</v>
      </c>
      <c r="BM27">
        <v>56</v>
      </c>
    </row>
    <row r="28" spans="1:65" x14ac:dyDescent="0.25">
      <c r="K28">
        <v>54</v>
      </c>
      <c r="L28">
        <v>56</v>
      </c>
      <c r="M28">
        <v>55</v>
      </c>
      <c r="O28">
        <v>55</v>
      </c>
      <c r="S28">
        <v>54</v>
      </c>
      <c r="T28">
        <v>56</v>
      </c>
      <c r="U28">
        <v>55</v>
      </c>
      <c r="V28">
        <v>60</v>
      </c>
      <c r="W28">
        <v>55</v>
      </c>
      <c r="X28">
        <v>57</v>
      </c>
      <c r="Y28">
        <v>56</v>
      </c>
      <c r="AA28">
        <v>55</v>
      </c>
      <c r="AB28">
        <v>57</v>
      </c>
      <c r="AC28">
        <v>56</v>
      </c>
      <c r="AE28">
        <v>56</v>
      </c>
      <c r="AF28">
        <v>58</v>
      </c>
      <c r="AG28">
        <v>57</v>
      </c>
      <c r="AJ28">
        <v>56</v>
      </c>
      <c r="AK28">
        <v>55</v>
      </c>
      <c r="AL28">
        <v>60</v>
      </c>
      <c r="AM28">
        <v>55</v>
      </c>
      <c r="AN28">
        <v>57</v>
      </c>
      <c r="AO28">
        <v>56</v>
      </c>
      <c r="AQ28">
        <v>55</v>
      </c>
      <c r="AR28">
        <v>57</v>
      </c>
      <c r="AS28">
        <v>56</v>
      </c>
      <c r="AT28">
        <v>61</v>
      </c>
      <c r="AU28">
        <v>56</v>
      </c>
      <c r="AV28">
        <v>58</v>
      </c>
      <c r="AW28">
        <v>57</v>
      </c>
      <c r="AY28">
        <v>55</v>
      </c>
      <c r="AZ28">
        <v>57</v>
      </c>
      <c r="BA28">
        <v>56</v>
      </c>
      <c r="BB28">
        <v>61</v>
      </c>
      <c r="BC28">
        <v>56</v>
      </c>
      <c r="BD28">
        <v>58</v>
      </c>
      <c r="BE28">
        <v>57</v>
      </c>
      <c r="BG28">
        <v>56</v>
      </c>
      <c r="BH28">
        <v>58</v>
      </c>
      <c r="BI28">
        <v>57</v>
      </c>
      <c r="BK28">
        <v>57</v>
      </c>
      <c r="BL28">
        <v>59</v>
      </c>
      <c r="BM28">
        <v>58</v>
      </c>
    </row>
    <row r="29" spans="1:65" x14ac:dyDescent="0.25">
      <c r="K29">
        <v>56</v>
      </c>
      <c r="S29">
        <v>56</v>
      </c>
      <c r="T29">
        <v>58</v>
      </c>
      <c r="U29">
        <v>57</v>
      </c>
      <c r="W29">
        <v>57</v>
      </c>
      <c r="X29">
        <v>59</v>
      </c>
      <c r="Y29">
        <v>58</v>
      </c>
      <c r="AA29">
        <v>57</v>
      </c>
      <c r="AB29">
        <v>59</v>
      </c>
      <c r="AC29">
        <v>58</v>
      </c>
      <c r="AE29">
        <v>58</v>
      </c>
      <c r="AJ29">
        <v>58</v>
      </c>
      <c r="AK29">
        <v>57</v>
      </c>
      <c r="AL29">
        <v>62</v>
      </c>
      <c r="AM29">
        <v>57</v>
      </c>
      <c r="AN29">
        <v>59</v>
      </c>
      <c r="AO29">
        <v>58</v>
      </c>
      <c r="AQ29">
        <v>57</v>
      </c>
      <c r="AR29">
        <v>59</v>
      </c>
      <c r="AS29">
        <v>58</v>
      </c>
      <c r="AU29">
        <v>58</v>
      </c>
      <c r="AV29">
        <v>60</v>
      </c>
      <c r="AW29">
        <v>59</v>
      </c>
      <c r="AY29">
        <v>57</v>
      </c>
      <c r="AZ29">
        <v>59</v>
      </c>
      <c r="BA29">
        <v>58</v>
      </c>
      <c r="BC29">
        <v>58</v>
      </c>
      <c r="BD29">
        <v>60</v>
      </c>
      <c r="BE29">
        <v>59</v>
      </c>
      <c r="BG29">
        <v>58</v>
      </c>
      <c r="BH29">
        <v>60</v>
      </c>
      <c r="BI29">
        <v>59</v>
      </c>
      <c r="BK29">
        <v>59</v>
      </c>
    </row>
    <row r="30" spans="1:65" x14ac:dyDescent="0.25">
      <c r="S30">
        <v>58</v>
      </c>
      <c r="T30">
        <v>60</v>
      </c>
      <c r="U30">
        <v>59</v>
      </c>
      <c r="W30">
        <v>59</v>
      </c>
      <c r="AA30">
        <v>59</v>
      </c>
      <c r="AJ30">
        <v>60</v>
      </c>
      <c r="AK30">
        <v>59</v>
      </c>
      <c r="AM30">
        <v>59</v>
      </c>
      <c r="AN30">
        <v>61</v>
      </c>
      <c r="AO30">
        <v>60</v>
      </c>
      <c r="AQ30">
        <v>59</v>
      </c>
      <c r="AR30">
        <v>61</v>
      </c>
      <c r="AS30">
        <v>60</v>
      </c>
      <c r="AU30">
        <v>60</v>
      </c>
      <c r="AY30">
        <v>59</v>
      </c>
      <c r="AZ30">
        <v>61</v>
      </c>
      <c r="BA30">
        <v>60</v>
      </c>
      <c r="BC30">
        <v>60</v>
      </c>
      <c r="BG30">
        <v>60</v>
      </c>
    </row>
    <row r="31" spans="1:65" x14ac:dyDescent="0.25">
      <c r="S31">
        <v>60</v>
      </c>
      <c r="AJ31">
        <v>62</v>
      </c>
      <c r="AK31">
        <v>61</v>
      </c>
      <c r="AM31">
        <v>61</v>
      </c>
      <c r="AQ31">
        <v>61</v>
      </c>
      <c r="AY31">
        <v>61</v>
      </c>
    </row>
    <row r="32" spans="1:65" x14ac:dyDescent="0.25">
      <c r="A32" t="s">
        <v>1</v>
      </c>
      <c r="B32">
        <f>SUBTOTAL(105,Table1[0])</f>
        <v>0</v>
      </c>
      <c r="C32">
        <f>SUBTOTAL(105,Table1[1])</f>
        <v>1</v>
      </c>
      <c r="D32">
        <f>SUBTOTAL(105,Table1[2])</f>
        <v>3</v>
      </c>
      <c r="E32">
        <f>SUBTOTAL(105,Table1[3])</f>
        <v>2</v>
      </c>
      <c r="F32">
        <f>SUBTOTAL(105,Table1[4])</f>
        <v>7</v>
      </c>
      <c r="G32">
        <f>SUBTOTAL(105,Table1[5])</f>
        <v>2</v>
      </c>
      <c r="H32">
        <f>SUBTOTAL(105,Table1[6])</f>
        <v>4</v>
      </c>
      <c r="I32">
        <f>SUBTOTAL(105,Table1[7])</f>
        <v>3</v>
      </c>
      <c r="J32">
        <f>SUBTOTAL(105,Table1[8])</f>
        <v>15</v>
      </c>
      <c r="K32">
        <f>SUBTOTAL(105,Table1[9])</f>
        <v>2</v>
      </c>
      <c r="L32">
        <f>SUBTOTAL(105,Table1[10])</f>
        <v>4</v>
      </c>
      <c r="M32">
        <f>SUBTOTAL(105,Table1[11])</f>
        <v>3</v>
      </c>
      <c r="N32">
        <f>SUBTOTAL(105,Table1[12])</f>
        <v>8</v>
      </c>
      <c r="O32">
        <f>SUBTOTAL(105,Table1[13])</f>
        <v>3</v>
      </c>
      <c r="P32">
        <f>SUBTOTAL(105,Table1[14])</f>
        <v>5</v>
      </c>
      <c r="Q32">
        <f>SUBTOTAL(105,Table1[15])</f>
        <v>4</v>
      </c>
      <c r="R32">
        <f>SUBTOTAL(105,Table1[16])</f>
        <v>31</v>
      </c>
      <c r="S32">
        <f>SUBTOTAL(105,Table1[17])</f>
        <v>2</v>
      </c>
      <c r="T32">
        <f>SUBTOTAL(105,Table1[18])</f>
        <v>4</v>
      </c>
      <c r="U32">
        <f>SUBTOTAL(105,Table1[19])</f>
        <v>3</v>
      </c>
      <c r="V32">
        <f>SUBTOTAL(105,Table1[20])</f>
        <v>8</v>
      </c>
      <c r="W32">
        <f>SUBTOTAL(105,Table1[21])</f>
        <v>3</v>
      </c>
      <c r="X32">
        <f>SUBTOTAL(105,Table1[22])</f>
        <v>5</v>
      </c>
      <c r="Y32">
        <f>SUBTOTAL(105,Table1[23])</f>
        <v>4</v>
      </c>
      <c r="Z32">
        <f>SUBTOTAL(105,Table1[24])</f>
        <v>16</v>
      </c>
      <c r="AA32">
        <f>SUBTOTAL(105,Table1[25])</f>
        <v>3</v>
      </c>
      <c r="AB32">
        <f>SUBTOTAL(105,Table1[26])</f>
        <v>5</v>
      </c>
      <c r="AC32">
        <f>SUBTOTAL(105,Table1[27])</f>
        <v>4</v>
      </c>
      <c r="AD32">
        <f>SUBTOTAL(105,Table1[28])</f>
        <v>9</v>
      </c>
      <c r="AE32">
        <f>SUBTOTAL(105,Table1[29])</f>
        <v>4</v>
      </c>
      <c r="AF32">
        <f>SUBTOTAL(105,Table1[30])</f>
        <v>6</v>
      </c>
      <c r="AG32">
        <f>SUBTOTAL(105,Table1[31])</f>
        <v>5</v>
      </c>
      <c r="AH32">
        <f>SUBTOTAL(105,Table1[32])</f>
        <v>63</v>
      </c>
      <c r="AI32">
        <f>SUBTOTAL(105,Table1[33])</f>
        <v>2</v>
      </c>
      <c r="AJ32">
        <f>SUBTOTAL(105,Table1[34])</f>
        <v>4</v>
      </c>
      <c r="AK32">
        <f>SUBTOTAL(105,Table1[35])</f>
        <v>3</v>
      </c>
      <c r="AL32">
        <f>SUBTOTAL(105,Table1[36])</f>
        <v>8</v>
      </c>
      <c r="AM32">
        <f>SUBTOTAL(105,Table1[37])</f>
        <v>3</v>
      </c>
      <c r="AN32">
        <f>SUBTOTAL(105,Table1[38])</f>
        <v>5</v>
      </c>
      <c r="AO32">
        <f>SUBTOTAL(105,Table1[39])</f>
        <v>4</v>
      </c>
      <c r="AP32">
        <f>SUBTOTAL(105,Table1[40])</f>
        <v>16</v>
      </c>
      <c r="AQ32">
        <f>SUBTOTAL(105,Table1[41])</f>
        <v>3</v>
      </c>
      <c r="AR32">
        <f>SUBTOTAL(105,Table1[42])</f>
        <v>5</v>
      </c>
      <c r="AS32">
        <f>SUBTOTAL(105,Table1[43])</f>
        <v>4</v>
      </c>
      <c r="AT32">
        <f>SUBTOTAL(105,Table1[44])</f>
        <v>9</v>
      </c>
      <c r="AU32">
        <f>SUBTOTAL(105,Table1[45])</f>
        <v>4</v>
      </c>
      <c r="AV32">
        <f>SUBTOTAL(105,Table1[46])</f>
        <v>6</v>
      </c>
      <c r="AW32">
        <f>SUBTOTAL(105,Table1[47])</f>
        <v>5</v>
      </c>
      <c r="AX32">
        <f>SUBTOTAL(105,Table1[48])</f>
        <v>32</v>
      </c>
      <c r="AY32">
        <f>SUBTOTAL(105,Table1[49])</f>
        <v>3</v>
      </c>
      <c r="AZ32">
        <f>SUBTOTAL(105,Table1[50])</f>
        <v>5</v>
      </c>
      <c r="BA32">
        <f>SUBTOTAL(105,Table1[51])</f>
        <v>4</v>
      </c>
      <c r="BB32">
        <f>SUBTOTAL(105,Table1[52])</f>
        <v>9</v>
      </c>
      <c r="BC32">
        <f>SUBTOTAL(105,Table1[53])</f>
        <v>4</v>
      </c>
      <c r="BD32">
        <f>SUBTOTAL(105,Table1[54])</f>
        <v>6</v>
      </c>
      <c r="BE32">
        <f>SUBTOTAL(105,Table1[55])</f>
        <v>5</v>
      </c>
      <c r="BF32">
        <f>SUBTOTAL(105,Table1[56])</f>
        <v>17</v>
      </c>
      <c r="BG32">
        <f>SUBTOTAL(105,Table1[57])</f>
        <v>4</v>
      </c>
      <c r="BH32">
        <f>SUBTOTAL(105,Table1[58])</f>
        <v>6</v>
      </c>
      <c r="BI32">
        <f>SUBTOTAL(105,Table1[59])</f>
        <v>5</v>
      </c>
      <c r="BJ32">
        <f>SUBTOTAL(105,Table1[60])</f>
        <v>10</v>
      </c>
      <c r="BK32">
        <f>SUBTOTAL(105,Table1[61])</f>
        <v>5</v>
      </c>
      <c r="BL32">
        <f>SUBTOTAL(105,Table1[62])</f>
        <v>7</v>
      </c>
      <c r="BM32">
        <f>SUBTOTAL(105,Table1[63])</f>
        <v>6</v>
      </c>
    </row>
    <row r="33" spans="1:65" x14ac:dyDescent="0.25">
      <c r="A33" t="s">
        <v>0</v>
      </c>
      <c r="B33">
        <f>COUNT(Table1[0])</f>
        <v>1</v>
      </c>
      <c r="C33">
        <f>COUNT(Table1[1])</f>
        <v>1</v>
      </c>
      <c r="D33">
        <f>COUNT(Table1[2])</f>
        <v>16</v>
      </c>
      <c r="E33">
        <f>COUNT(Table1[3])</f>
        <v>16</v>
      </c>
      <c r="F33">
        <f>COUNT(Table1[4])</f>
        <v>22</v>
      </c>
      <c r="G33">
        <f>COUNT(Table1[5])</f>
        <v>24</v>
      </c>
      <c r="H33">
        <f>COUNT(Table1[6])</f>
        <v>23</v>
      </c>
      <c r="I33">
        <f>COUNT(Table1[7])</f>
        <v>23</v>
      </c>
      <c r="J33">
        <f>COUNT(Table1[8])</f>
        <v>22</v>
      </c>
      <c r="K33">
        <f>COUNT(Table1[9])</f>
        <v>28</v>
      </c>
      <c r="L33">
        <f>COUNT(Table1[10])</f>
        <v>27</v>
      </c>
      <c r="M33">
        <f>COUNT(Table1[11])</f>
        <v>27</v>
      </c>
      <c r="N33">
        <f>COUNT(Table1[12])</f>
        <v>25</v>
      </c>
      <c r="O33">
        <f>COUNT(Table1[13])</f>
        <v>27</v>
      </c>
      <c r="P33">
        <f>COUNT(Table1[14])</f>
        <v>26</v>
      </c>
      <c r="Q33">
        <f>COUNT(Table1[15])</f>
        <v>26</v>
      </c>
      <c r="R33">
        <f>COUNT(Table1[16])</f>
        <v>16</v>
      </c>
      <c r="S33">
        <f>COUNT(Table1[17])</f>
        <v>30</v>
      </c>
      <c r="T33">
        <f>COUNT(Table1[18])</f>
        <v>29</v>
      </c>
      <c r="U33">
        <f>COUNT(Table1[19])</f>
        <v>29</v>
      </c>
      <c r="V33">
        <f>COUNT(Table1[20])</f>
        <v>27</v>
      </c>
      <c r="W33">
        <f>COUNT(Table1[21])</f>
        <v>29</v>
      </c>
      <c r="X33">
        <f>COUNT(Table1[22])</f>
        <v>28</v>
      </c>
      <c r="Y33">
        <f>COUNT(Table1[23])</f>
        <v>28</v>
      </c>
      <c r="Z33">
        <f>COUNT(Table1[24])</f>
        <v>23</v>
      </c>
      <c r="AA33">
        <f>COUNT(Table1[25])</f>
        <v>29</v>
      </c>
      <c r="AB33">
        <f>COUNT(Table1[26])</f>
        <v>28</v>
      </c>
      <c r="AC33">
        <f>COUNT(Table1[27])</f>
        <v>28</v>
      </c>
      <c r="AD33">
        <f>COUNT(Table1[28])</f>
        <v>26</v>
      </c>
      <c r="AE33">
        <f>COUNT(Table1[29])</f>
        <v>28</v>
      </c>
      <c r="AF33">
        <f>COUNT(Table1[30])</f>
        <v>27</v>
      </c>
      <c r="AG33">
        <f>COUNT(Table1[31])</f>
        <v>27</v>
      </c>
      <c r="AH33">
        <f>COUNT(Table1[32])</f>
        <v>1</v>
      </c>
      <c r="AI33">
        <f>COUNT(Table1[33])</f>
        <v>16</v>
      </c>
      <c r="AJ33">
        <f>COUNT(Table1[34])</f>
        <v>30</v>
      </c>
      <c r="AK33">
        <f>COUNT(Table1[35])</f>
        <v>30</v>
      </c>
      <c r="AL33">
        <f>COUNT(Table1[36])</f>
        <v>28</v>
      </c>
      <c r="AM33">
        <f>COUNT(Table1[37])</f>
        <v>30</v>
      </c>
      <c r="AN33">
        <f>COUNT(Table1[38])</f>
        <v>29</v>
      </c>
      <c r="AO33">
        <f>COUNT(Table1[39])</f>
        <v>29</v>
      </c>
      <c r="AP33">
        <f>COUNT(Table1[40])</f>
        <v>24</v>
      </c>
      <c r="AQ33">
        <f>COUNT(Table1[41])</f>
        <v>30</v>
      </c>
      <c r="AR33">
        <f>COUNT(Table1[42])</f>
        <v>29</v>
      </c>
      <c r="AS33">
        <f>COUNT(Table1[43])</f>
        <v>29</v>
      </c>
      <c r="AT33">
        <f>COUNT(Table1[44])</f>
        <v>27</v>
      </c>
      <c r="AU33">
        <f>COUNT(Table1[45])</f>
        <v>29</v>
      </c>
      <c r="AV33">
        <f>COUNT(Table1[46])</f>
        <v>28</v>
      </c>
      <c r="AW33">
        <f>COUNT(Table1[47])</f>
        <v>28</v>
      </c>
      <c r="AX33">
        <f>COUNT(Table1[48])</f>
        <v>16</v>
      </c>
      <c r="AY33">
        <f>COUNT(Table1[49])</f>
        <v>30</v>
      </c>
      <c r="AZ33">
        <f>COUNT(Table1[50])</f>
        <v>29</v>
      </c>
      <c r="BA33">
        <f>COUNT(Table1[51])</f>
        <v>29</v>
      </c>
      <c r="BB33">
        <f>COUNT(Table1[52])</f>
        <v>27</v>
      </c>
      <c r="BC33">
        <f>COUNT(Table1[53])</f>
        <v>29</v>
      </c>
      <c r="BD33">
        <f>COUNT(Table1[54])</f>
        <v>28</v>
      </c>
      <c r="BE33">
        <f>COUNT(Table1[55])</f>
        <v>28</v>
      </c>
      <c r="BF33">
        <f>COUNT(Table1[56])</f>
        <v>23</v>
      </c>
      <c r="BG33">
        <f>COUNT(Table1[57])</f>
        <v>29</v>
      </c>
      <c r="BH33">
        <f>COUNT(Table1[58])</f>
        <v>28</v>
      </c>
      <c r="BI33">
        <f>COUNT(Table1[59])</f>
        <v>28</v>
      </c>
      <c r="BJ33">
        <f>COUNT(Table1[60])</f>
        <v>26</v>
      </c>
      <c r="BK33">
        <f>COUNT(Table1[61])</f>
        <v>28</v>
      </c>
      <c r="BL33">
        <f>COUNT(Table1[62])</f>
        <v>27</v>
      </c>
      <c r="BM33">
        <f>COUNT(Table1[63])</f>
        <v>27</v>
      </c>
    </row>
    <row r="34" spans="1:65" x14ac:dyDescent="0.25">
      <c r="A34" t="s">
        <v>69</v>
      </c>
      <c r="B34">
        <f>MAX(Table1[0])</f>
        <v>0</v>
      </c>
      <c r="C34">
        <f>MAX(Table1[1])</f>
        <v>1</v>
      </c>
      <c r="D34" s="4">
        <f>MAX(Table1[2])</f>
        <v>33</v>
      </c>
      <c r="E34" s="4">
        <f>MAX(Table1[3])</f>
        <v>32</v>
      </c>
      <c r="F34" s="5">
        <f>MAX(Table1[4])</f>
        <v>49</v>
      </c>
      <c r="G34" s="5">
        <f>MAX(Table1[5])</f>
        <v>48</v>
      </c>
      <c r="H34" s="5">
        <f>MAX(Table1[6])</f>
        <v>48</v>
      </c>
      <c r="I34" s="5">
        <f>MAX(Table1[7])</f>
        <v>47</v>
      </c>
      <c r="J34">
        <f>MAX(Table1[8])</f>
        <v>57</v>
      </c>
      <c r="K34">
        <f>MAX(Table1[9])</f>
        <v>56</v>
      </c>
      <c r="L34">
        <f>MAX(Table1[10])</f>
        <v>56</v>
      </c>
      <c r="M34">
        <f>MAX(Table1[11])</f>
        <v>55</v>
      </c>
      <c r="N34">
        <f>MAX(Table1[12])</f>
        <v>56</v>
      </c>
      <c r="O34">
        <f>MAX(Table1[13])</f>
        <v>55</v>
      </c>
      <c r="P34">
        <f>MAX(Table1[14])</f>
        <v>55</v>
      </c>
      <c r="Q34">
        <f>MAX(Table1[15])</f>
        <v>54</v>
      </c>
      <c r="R34">
        <f>MAX(Table1[16])</f>
        <v>61</v>
      </c>
      <c r="S34">
        <f>MAX(Table1[17])</f>
        <v>60</v>
      </c>
      <c r="T34">
        <f>MAX(Table1[18])</f>
        <v>60</v>
      </c>
      <c r="U34">
        <f>MAX(Table1[19])</f>
        <v>59</v>
      </c>
      <c r="V34">
        <f>MAX(Table1[20])</f>
        <v>60</v>
      </c>
      <c r="W34">
        <f>MAX(Table1[21])</f>
        <v>59</v>
      </c>
      <c r="X34">
        <f>MAX(Table1[22])</f>
        <v>59</v>
      </c>
      <c r="Y34">
        <f>MAX(Table1[23])</f>
        <v>58</v>
      </c>
      <c r="Z34">
        <f>MAX(Table1[24])</f>
        <v>60</v>
      </c>
      <c r="AA34">
        <f>MAX(Table1[25])</f>
        <v>59</v>
      </c>
      <c r="AB34">
        <f>MAX(Table1[26])</f>
        <v>59</v>
      </c>
      <c r="AC34">
        <f>MAX(Table1[27])</f>
        <v>58</v>
      </c>
      <c r="AD34">
        <f>MAX(Table1[28])</f>
        <v>59</v>
      </c>
      <c r="AE34">
        <f>MAX(Table1[29])</f>
        <v>58</v>
      </c>
      <c r="AF34">
        <f>MAX(Table1[30])</f>
        <v>58</v>
      </c>
      <c r="AG34">
        <f>MAX(Table1[31])</f>
        <v>57</v>
      </c>
      <c r="AH34">
        <f>MAX(Table1[32])</f>
        <v>63</v>
      </c>
      <c r="AI34">
        <f>MAX(Table1[33])</f>
        <v>62</v>
      </c>
      <c r="AJ34">
        <f>MAX(Table1[34])</f>
        <v>62</v>
      </c>
      <c r="AK34">
        <f>MAX(Table1[35])</f>
        <v>61</v>
      </c>
      <c r="AL34">
        <f>MAX(Table1[36])</f>
        <v>62</v>
      </c>
      <c r="AM34">
        <f>MAX(Table1[37])</f>
        <v>61</v>
      </c>
      <c r="AN34">
        <f>MAX(Table1[38])</f>
        <v>61</v>
      </c>
      <c r="AO34">
        <f>MAX(Table1[39])</f>
        <v>60</v>
      </c>
      <c r="AP34">
        <f>MAX(Table1[40])</f>
        <v>62</v>
      </c>
      <c r="AQ34">
        <f>MAX(Table1[41])</f>
        <v>61</v>
      </c>
      <c r="AR34">
        <f>MAX(Table1[42])</f>
        <v>61</v>
      </c>
      <c r="AS34">
        <f>MAX(Table1[43])</f>
        <v>60</v>
      </c>
      <c r="AT34">
        <f>MAX(Table1[44])</f>
        <v>61</v>
      </c>
      <c r="AU34">
        <f>MAX(Table1[45])</f>
        <v>60</v>
      </c>
      <c r="AV34">
        <f>MAX(Table1[46])</f>
        <v>60</v>
      </c>
      <c r="AW34">
        <f>MAX(Table1[47])</f>
        <v>59</v>
      </c>
      <c r="AX34">
        <f>MAX(Table1[48])</f>
        <v>62</v>
      </c>
      <c r="AY34">
        <f>MAX(Table1[49])</f>
        <v>61</v>
      </c>
      <c r="AZ34">
        <f>MAX(Table1[50])</f>
        <v>61</v>
      </c>
      <c r="BA34">
        <f>MAX(Table1[51])</f>
        <v>60</v>
      </c>
      <c r="BB34">
        <f>MAX(Table1[52])</f>
        <v>61</v>
      </c>
      <c r="BC34">
        <f>MAX(Table1[53])</f>
        <v>60</v>
      </c>
      <c r="BD34">
        <f>MAX(Table1[54])</f>
        <v>60</v>
      </c>
      <c r="BE34">
        <f>MAX(Table1[55])</f>
        <v>59</v>
      </c>
      <c r="BF34">
        <f>MAX(Table1[56])</f>
        <v>61</v>
      </c>
      <c r="BG34">
        <f>MAX(Table1[57])</f>
        <v>60</v>
      </c>
      <c r="BH34">
        <f>MAX(Table1[58])</f>
        <v>60</v>
      </c>
      <c r="BI34">
        <f>MAX(Table1[59])</f>
        <v>59</v>
      </c>
      <c r="BJ34">
        <f>MAX(Table1[60])</f>
        <v>60</v>
      </c>
      <c r="BK34">
        <f>MAX(Table1[61])</f>
        <v>59</v>
      </c>
      <c r="BL34">
        <f>MAX(Table1[62])</f>
        <v>59</v>
      </c>
      <c r="BM34">
        <f>MAX(Table1[63])</f>
        <v>58</v>
      </c>
    </row>
    <row r="35" spans="1:65" x14ac:dyDescent="0.25">
      <c r="A35" t="s">
        <v>66</v>
      </c>
      <c r="B35">
        <f>Table1[[#Totals],[0]]+B33*B36</f>
        <v>2</v>
      </c>
      <c r="C35">
        <f>Table1[[#Totals],[1]]+C33*C36</f>
        <v>3</v>
      </c>
      <c r="D35">
        <f>Table1[[#Totals],[2]]+D33*D36</f>
        <v>35</v>
      </c>
      <c r="E35">
        <f>Table1[[#Totals],[3]]+E33*E36</f>
        <v>34</v>
      </c>
      <c r="F35">
        <f>Table1[[#Totals],[4]]+F33*F36</f>
        <v>51</v>
      </c>
      <c r="G35">
        <f>Table1[[#Totals],[5]]+G33*G36</f>
        <v>50</v>
      </c>
      <c r="H35">
        <f>Table1[[#Totals],[6]]+H33*H36</f>
        <v>50</v>
      </c>
      <c r="I35">
        <f>Table1[[#Totals],[7]]+I33*I36</f>
        <v>49</v>
      </c>
      <c r="J35">
        <f>Table1[[#Totals],[8]]+J33*J36</f>
        <v>59</v>
      </c>
      <c r="K35">
        <f>Table1[[#Totals],[9]]+K33*K36</f>
        <v>58</v>
      </c>
      <c r="L35">
        <f>Table1[[#Totals],[10]]+L33*L36</f>
        <v>58</v>
      </c>
      <c r="M35">
        <f>Table1[[#Totals],[11]]+M33*M36</f>
        <v>57</v>
      </c>
      <c r="N35">
        <f>Table1[[#Totals],[12]]+N33*N36</f>
        <v>58</v>
      </c>
      <c r="O35">
        <f>Table1[[#Totals],[13]]+O33*O36</f>
        <v>57</v>
      </c>
      <c r="P35">
        <f>Table1[[#Totals],[14]]+P33*P36</f>
        <v>57</v>
      </c>
      <c r="Q35">
        <f>Table1[[#Totals],[15]]+Q33*Q36</f>
        <v>56</v>
      </c>
      <c r="R35">
        <f>Table1[[#Totals],[16]]+R33*R36</f>
        <v>63</v>
      </c>
      <c r="S35">
        <f>Table1[[#Totals],[17]]+S33*S36</f>
        <v>62</v>
      </c>
      <c r="T35">
        <f>Table1[[#Totals],[18]]+T33*T36</f>
        <v>62</v>
      </c>
      <c r="U35">
        <f>Table1[[#Totals],[19]]+U33*U36</f>
        <v>61</v>
      </c>
      <c r="V35">
        <f>Table1[[#Totals],[20]]+V33*V36</f>
        <v>62</v>
      </c>
      <c r="W35">
        <f>Table1[[#Totals],[21]]+W33*W36</f>
        <v>61</v>
      </c>
      <c r="X35">
        <f>Table1[[#Totals],[22]]+X33*X36</f>
        <v>61</v>
      </c>
      <c r="Y35">
        <f>Table1[[#Totals],[23]]+Y33*Y36</f>
        <v>60</v>
      </c>
      <c r="Z35">
        <f>Table1[[#Totals],[24]]+Z33*Z36</f>
        <v>62</v>
      </c>
      <c r="AA35">
        <f>Table1[[#Totals],[25]]+AA33*AA36</f>
        <v>61</v>
      </c>
      <c r="AB35">
        <f>Table1[[#Totals],[26]]+AB33*AB36</f>
        <v>61</v>
      </c>
      <c r="AC35">
        <f>Table1[[#Totals],[27]]+AC33*AC36</f>
        <v>60</v>
      </c>
      <c r="AD35">
        <f>Table1[[#Totals],[28]]+AD33*AD36</f>
        <v>61</v>
      </c>
      <c r="AE35">
        <f>Table1[[#Totals],[29]]+AE33*AE36</f>
        <v>60</v>
      </c>
      <c r="AF35">
        <f>Table1[[#Totals],[30]]+AF33*AF36</f>
        <v>60</v>
      </c>
      <c r="AG35">
        <f>Table1[[#Totals],[31]]+AG33*AG36</f>
        <v>59</v>
      </c>
      <c r="AH35">
        <f>Table1[[#Totals],[32]]+AH33*AH36</f>
        <v>65</v>
      </c>
      <c r="AI35">
        <f>Table1[[#Totals],[33]]+AI33*AI36</f>
        <v>66</v>
      </c>
      <c r="AJ35">
        <f>Table1[[#Totals],[34]]+AJ33*AJ36</f>
        <v>64</v>
      </c>
      <c r="AK35">
        <f>Table1[[#Totals],[35]]+AK33*AK36</f>
        <v>63</v>
      </c>
      <c r="AL35">
        <f>Table1[[#Totals],[36]]+AL33*AL36</f>
        <v>64</v>
      </c>
      <c r="AM35">
        <f>Table1[[#Totals],[37]]+AM33*AM36</f>
        <v>63</v>
      </c>
      <c r="AN35">
        <f>Table1[[#Totals],[38]]+AN33*AN36</f>
        <v>63</v>
      </c>
      <c r="AO35">
        <f>Table1[[#Totals],[39]]+AO33*AO36</f>
        <v>62</v>
      </c>
      <c r="AP35">
        <f>Table1[[#Totals],[40]]+AP33*AP36</f>
        <v>64</v>
      </c>
      <c r="AQ35">
        <f>Table1[[#Totals],[41]]+AQ33*AQ36</f>
        <v>63</v>
      </c>
      <c r="AR35">
        <f>Table1[[#Totals],[42]]+AR33*AR36</f>
        <v>63</v>
      </c>
      <c r="AS35">
        <f>Table1[[#Totals],[43]]+AS33*AS36</f>
        <v>62</v>
      </c>
      <c r="AT35">
        <f>Table1[[#Totals],[44]]+AT33*AT36</f>
        <v>63</v>
      </c>
      <c r="AU35">
        <f>Table1[[#Totals],[45]]+AU33*AU36</f>
        <v>62</v>
      </c>
      <c r="AV35">
        <f>Table1[[#Totals],[46]]+AV33*AV36</f>
        <v>62</v>
      </c>
      <c r="AW35">
        <f>Table1[[#Totals],[47]]+AW33*AW36</f>
        <v>61</v>
      </c>
      <c r="AX35">
        <f>Table1[[#Totals],[48]]+AX33*AX36</f>
        <v>64</v>
      </c>
      <c r="AY35">
        <f>Table1[[#Totals],[49]]+AY33*AY36</f>
        <v>63</v>
      </c>
      <c r="AZ35">
        <f>Table1[[#Totals],[50]]+AZ33*AZ36</f>
        <v>63</v>
      </c>
      <c r="BA35">
        <f>Table1[[#Totals],[51]]+BA33*BA36</f>
        <v>62</v>
      </c>
      <c r="BB35">
        <f>Table1[[#Totals],[52]]+BB33*BB36</f>
        <v>63</v>
      </c>
      <c r="BC35">
        <f>Table1[[#Totals],[53]]+BC33*BC36</f>
        <v>62</v>
      </c>
      <c r="BD35">
        <f>Table1[[#Totals],[54]]+BD33*BD36</f>
        <v>62</v>
      </c>
      <c r="BE35">
        <f>Table1[[#Totals],[55]]+BE33*BE36</f>
        <v>61</v>
      </c>
      <c r="BF35">
        <f>Table1[[#Totals],[56]]+BF33*BF36</f>
        <v>63</v>
      </c>
      <c r="BG35">
        <f>Table1[[#Totals],[57]]+BG33*BG36</f>
        <v>62</v>
      </c>
      <c r="BH35">
        <f>Table1[[#Totals],[58]]+BH33*BH36</f>
        <v>62</v>
      </c>
      <c r="BI35">
        <f>Table1[[#Totals],[59]]+BI33*BI36</f>
        <v>61</v>
      </c>
      <c r="BJ35">
        <f>Table1[[#Totals],[60]]+BJ33*BJ36</f>
        <v>62</v>
      </c>
      <c r="BK35">
        <f>Table1[[#Totals],[61]]+BK33*BK36</f>
        <v>61</v>
      </c>
      <c r="BL35">
        <f>Table1[[#Totals],[62]]+BL33*BL36</f>
        <v>61</v>
      </c>
      <c r="BM35">
        <f>Table1[[#Totals],[63]]+BM33*BM36</f>
        <v>60</v>
      </c>
    </row>
    <row r="36" spans="1:65" x14ac:dyDescent="0.25">
      <c r="A36" t="s">
        <v>67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4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2</v>
      </c>
      <c r="BL36">
        <v>2</v>
      </c>
      <c r="BM36">
        <v>2</v>
      </c>
    </row>
    <row r="37" spans="1:65" x14ac:dyDescent="0.25">
      <c r="E37" s="1"/>
      <c r="H37" s="1"/>
      <c r="N37" s="1"/>
      <c r="Z37" s="1"/>
      <c r="AJ37">
        <f>Table1[[#Totals],[2]]+1</f>
        <v>4</v>
      </c>
      <c r="AK37">
        <f>Table1[[#Totals],[3]]+1</f>
        <v>3</v>
      </c>
      <c r="AM37">
        <f>Table1[[#Totals],[5]]+1</f>
        <v>3</v>
      </c>
      <c r="AN37">
        <f>Table1[[#Totals],[6]]+1</f>
        <v>5</v>
      </c>
      <c r="AO37">
        <f>Table1[[#Totals],[7]]+1</f>
        <v>4</v>
      </c>
      <c r="AQ37">
        <f>Table1[[#Totals],[9]]+1</f>
        <v>3</v>
      </c>
      <c r="AR37">
        <f>Table1[[#Totals],[10]]+1</f>
        <v>5</v>
      </c>
      <c r="AS37">
        <f>Table1[[#Totals],[11]]+1</f>
        <v>4</v>
      </c>
      <c r="AU37">
        <f>Table1[[#Totals],[13]]+1</f>
        <v>4</v>
      </c>
      <c r="AW37">
        <f>Table1[[#Totals],[15]]+1</f>
        <v>5</v>
      </c>
      <c r="AY37">
        <f>Table1[[#Totals],[17]]+1</f>
        <v>3</v>
      </c>
      <c r="AZ37">
        <f>Table1[[#Totals],[18]]+1</f>
        <v>5</v>
      </c>
      <c r="BA37">
        <f>Table1[[#Totals],[19]]+1</f>
        <v>4</v>
      </c>
      <c r="BC37">
        <f>Table1[[#Totals],[21]]+1</f>
        <v>4</v>
      </c>
      <c r="BE37">
        <f>Table1[[#Totals],[23]]+1</f>
        <v>5</v>
      </c>
      <c r="BG37">
        <f>Table1[[#Totals],[25]]+1</f>
        <v>4</v>
      </c>
      <c r="BI37">
        <f>Table1[[#Totals],[27]]+1</f>
        <v>5</v>
      </c>
      <c r="BK37">
        <f>Table1[[#Totals],[29]]+1</f>
        <v>5</v>
      </c>
      <c r="BM37">
        <f>Table1[[#Totals],[31]]+1</f>
        <v>6</v>
      </c>
    </row>
    <row r="38" spans="1:65" s="2" customFormat="1" x14ac:dyDescent="0.25">
      <c r="A38" s="2">
        <f>COUNT(B38:BM38)</f>
        <v>26</v>
      </c>
      <c r="L38" s="2">
        <v>4</v>
      </c>
      <c r="P38" s="2">
        <v>5</v>
      </c>
      <c r="T38" s="2">
        <v>4</v>
      </c>
      <c r="V38" s="2">
        <v>8</v>
      </c>
      <c r="X38" s="2">
        <v>5</v>
      </c>
      <c r="AB38" s="2">
        <v>5</v>
      </c>
      <c r="AD38" s="2">
        <v>9</v>
      </c>
      <c r="AF38" s="2">
        <v>6</v>
      </c>
      <c r="AK38" s="2">
        <v>3</v>
      </c>
      <c r="AM38" s="2">
        <v>3</v>
      </c>
      <c r="AN38" s="2">
        <v>5</v>
      </c>
      <c r="AO38" s="2">
        <v>4</v>
      </c>
      <c r="AQ38" s="2">
        <v>3</v>
      </c>
      <c r="AR38" s="2">
        <v>5</v>
      </c>
      <c r="AS38" s="2">
        <v>4</v>
      </c>
      <c r="AU38" s="2">
        <v>4</v>
      </c>
      <c r="AW38" s="2">
        <v>5</v>
      </c>
      <c r="AY38" s="2">
        <v>3</v>
      </c>
      <c r="AZ38" s="2">
        <v>5</v>
      </c>
      <c r="BA38" s="2">
        <v>4</v>
      </c>
      <c r="BC38" s="2">
        <v>4</v>
      </c>
      <c r="BE38" s="2">
        <v>5</v>
      </c>
      <c r="BG38" s="2">
        <v>4</v>
      </c>
      <c r="BI38" s="2">
        <v>5</v>
      </c>
      <c r="BK38" s="2">
        <v>5</v>
      </c>
      <c r="BM38" s="2">
        <v>6</v>
      </c>
    </row>
    <row r="39" spans="1:65" x14ac:dyDescent="0.25">
      <c r="B39" s="3" t="str">
        <f>Table1[[#Headers],[0]]</f>
        <v>0</v>
      </c>
      <c r="C39" s="3" t="str">
        <f>Table1[[#Headers],[1]]</f>
        <v>1</v>
      </c>
      <c r="D39" s="3" t="str">
        <f>Table1[[#Headers],[2]]</f>
        <v>2</v>
      </c>
      <c r="E39" s="3" t="str">
        <f>Table1[[#Headers],[3]]</f>
        <v>3</v>
      </c>
      <c r="F39" s="3" t="str">
        <f>Table1[[#Headers],[4]]</f>
        <v>4</v>
      </c>
      <c r="G39" s="3" t="str">
        <f>Table1[[#Headers],[5]]</f>
        <v>5</v>
      </c>
      <c r="H39" s="3" t="str">
        <f>Table1[[#Headers],[6]]</f>
        <v>6</v>
      </c>
      <c r="I39" s="3" t="str">
        <f>Table1[[#Headers],[7]]</f>
        <v>7</v>
      </c>
      <c r="J39" s="3" t="str">
        <f>Table1[[#Headers],[8]]</f>
        <v>8</v>
      </c>
      <c r="K39" s="3" t="str">
        <f>Table1[[#Headers],[9]]</f>
        <v>9</v>
      </c>
      <c r="L39" s="3" t="str">
        <f>Table1[[#Headers],[10]]</f>
        <v>10</v>
      </c>
      <c r="M39" s="3" t="str">
        <f>Table1[[#Headers],[11]]</f>
        <v>11</v>
      </c>
      <c r="N39" s="3" t="str">
        <f>Table1[[#Headers],[12]]</f>
        <v>12</v>
      </c>
      <c r="O39" s="3" t="str">
        <f>Table1[[#Headers],[13]]</f>
        <v>13</v>
      </c>
      <c r="P39" s="3" t="str">
        <f>Table1[[#Headers],[14]]</f>
        <v>14</v>
      </c>
      <c r="Q39" s="3" t="str">
        <f>Table1[[#Headers],[15]]</f>
        <v>15</v>
      </c>
      <c r="R39" s="3" t="str">
        <f>Table1[[#Headers],[16]]</f>
        <v>16</v>
      </c>
      <c r="S39" s="3" t="str">
        <f>Table1[[#Headers],[17]]</f>
        <v>17</v>
      </c>
      <c r="T39" s="3" t="str">
        <f>Table1[[#Headers],[18]]</f>
        <v>18</v>
      </c>
      <c r="U39" s="3" t="str">
        <f>Table1[[#Headers],[19]]</f>
        <v>19</v>
      </c>
      <c r="V39" s="3" t="str">
        <f>Table1[[#Headers],[20]]</f>
        <v>20</v>
      </c>
      <c r="W39" s="3" t="str">
        <f>Table1[[#Headers],[21]]</f>
        <v>21</v>
      </c>
      <c r="X39" s="3" t="str">
        <f>Table1[[#Headers],[22]]</f>
        <v>22</v>
      </c>
      <c r="Y39" s="3" t="str">
        <f>Table1[[#Headers],[23]]</f>
        <v>23</v>
      </c>
      <c r="Z39" s="3" t="str">
        <f>Table1[[#Headers],[24]]</f>
        <v>24</v>
      </c>
      <c r="AA39" s="3" t="str">
        <f>Table1[[#Headers],[25]]</f>
        <v>25</v>
      </c>
      <c r="AB39" s="3" t="str">
        <f>Table1[[#Headers],[26]]</f>
        <v>26</v>
      </c>
      <c r="AC39" s="3" t="str">
        <f>Table1[[#Headers],[27]]</f>
        <v>27</v>
      </c>
      <c r="AD39" s="3" t="str">
        <f>Table1[[#Headers],[28]]</f>
        <v>28</v>
      </c>
      <c r="AE39" s="3" t="str">
        <f>Table1[[#Headers],[29]]</f>
        <v>29</v>
      </c>
      <c r="AF39" s="3" t="str">
        <f>Table1[[#Headers],[30]]</f>
        <v>30</v>
      </c>
      <c r="AG39" s="3" t="str">
        <f>Table1[[#Headers],[31]]</f>
        <v>31</v>
      </c>
      <c r="AH39" s="3" t="str">
        <f>Table1[[#Headers],[32]]</f>
        <v>32</v>
      </c>
      <c r="AI39" s="3" t="str">
        <f>Table1[[#Headers],[33]]</f>
        <v>33</v>
      </c>
      <c r="AJ39" s="3" t="str">
        <f>Table1[[#Headers],[34]]</f>
        <v>34</v>
      </c>
      <c r="AK39" s="3" t="str">
        <f>Table1[[#Headers],[35]]</f>
        <v>35</v>
      </c>
      <c r="AL39" s="3" t="str">
        <f>Table1[[#Headers],[36]]</f>
        <v>36</v>
      </c>
      <c r="AM39" s="3" t="str">
        <f>Table1[[#Headers],[37]]</f>
        <v>37</v>
      </c>
      <c r="AN39" s="3" t="str">
        <f>Table1[[#Headers],[38]]</f>
        <v>38</v>
      </c>
      <c r="AO39" s="3" t="str">
        <f>Table1[[#Headers],[39]]</f>
        <v>39</v>
      </c>
      <c r="AP39" s="3" t="str">
        <f>Table1[[#Headers],[40]]</f>
        <v>40</v>
      </c>
      <c r="AQ39" s="3" t="str">
        <f>Table1[[#Headers],[41]]</f>
        <v>41</v>
      </c>
      <c r="AR39" s="3" t="str">
        <f>Table1[[#Headers],[42]]</f>
        <v>42</v>
      </c>
      <c r="AS39" s="3" t="str">
        <f>Table1[[#Headers],[43]]</f>
        <v>43</v>
      </c>
      <c r="AT39" s="3" t="str">
        <f>Table1[[#Headers],[44]]</f>
        <v>44</v>
      </c>
      <c r="AU39" s="3" t="str">
        <f>Table1[[#Headers],[45]]</f>
        <v>45</v>
      </c>
      <c r="AV39" s="3" t="str">
        <f>Table1[[#Headers],[46]]</f>
        <v>46</v>
      </c>
      <c r="AW39" s="3" t="str">
        <f>Table1[[#Headers],[47]]</f>
        <v>47</v>
      </c>
      <c r="AX39" s="3" t="str">
        <f>Table1[[#Headers],[48]]</f>
        <v>48</v>
      </c>
      <c r="AY39" s="3" t="str">
        <f>Table1[[#Headers],[49]]</f>
        <v>49</v>
      </c>
      <c r="AZ39" s="3" t="str">
        <f>Table1[[#Headers],[50]]</f>
        <v>50</v>
      </c>
      <c r="BA39" s="3" t="str">
        <f>Table1[[#Headers],[51]]</f>
        <v>51</v>
      </c>
      <c r="BB39" s="3" t="str">
        <f>Table1[[#Headers],[52]]</f>
        <v>52</v>
      </c>
      <c r="BC39" s="3" t="str">
        <f>Table1[[#Headers],[53]]</f>
        <v>53</v>
      </c>
      <c r="BD39" s="3" t="str">
        <f>Table1[[#Headers],[54]]</f>
        <v>54</v>
      </c>
      <c r="BE39" s="3" t="str">
        <f>Table1[[#Headers],[55]]</f>
        <v>55</v>
      </c>
      <c r="BF39" s="3" t="str">
        <f>Table1[[#Headers],[56]]</f>
        <v>56</v>
      </c>
      <c r="BG39" s="3" t="str">
        <f>Table1[[#Headers],[57]]</f>
        <v>57</v>
      </c>
      <c r="BH39" s="3" t="str">
        <f>Table1[[#Headers],[58]]</f>
        <v>58</v>
      </c>
      <c r="BI39" s="3" t="str">
        <f>Table1[[#Headers],[59]]</f>
        <v>59</v>
      </c>
      <c r="BJ39" s="3" t="str">
        <f>Table1[[#Headers],[60]]</f>
        <v>60</v>
      </c>
      <c r="BK39" s="3" t="str">
        <f>Table1[[#Headers],[61]]</f>
        <v>61</v>
      </c>
      <c r="BL39" s="3" t="str">
        <f>Table1[[#Headers],[62]]</f>
        <v>62</v>
      </c>
      <c r="BM39" s="3" t="str">
        <f>Table1[[#Headers],[63]]</f>
        <v>63</v>
      </c>
    </row>
  </sheetData>
  <conditionalFormatting sqref="B2:BM31">
    <cfRule type="expression" dxfId="3" priority="8">
      <formula>"isodd(B1)"</formula>
    </cfRule>
  </conditionalFormatting>
  <conditionalFormatting sqref="B34:BM34">
    <cfRule type="cellIs" dxfId="2" priority="1" operator="greaterThan">
      <formula>60</formula>
    </cfRule>
  </conditionalFormatting>
  <conditionalFormatting sqref="G38:H38">
    <cfRule type="cellIs" dxfId="1" priority="6" operator="equal">
      <formula>2</formula>
    </cfRule>
  </conditionalFormatting>
  <conditionalFormatting sqref="AJ37:BM38">
    <cfRule type="cellIs" dxfId="0" priority="2" operator="equal">
      <formula>AJ38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p2d6leafColumn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Hogan</dc:creator>
  <cp:lastModifiedBy>Hunter Hogan</cp:lastModifiedBy>
  <dcterms:created xsi:type="dcterms:W3CDTF">2025-10-28T14:42:30Z</dcterms:created>
  <dcterms:modified xsi:type="dcterms:W3CDTF">2025-10-29T19:08:51Z</dcterms:modified>
</cp:coreProperties>
</file>